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 sheetId="1" state="visible" r:id="rId3"/>
    <sheet name="Tổng hợp" sheetId="2" state="visible" r:id="rId4"/>
  </sheets>
  <definedNames>
    <definedName function="false" hidden="true" localSheetId="0" name="_xlnm._FilterDatabase" vbProcedure="false">'Test case'!$A$1:$K$103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<sst xmlns="http://schemas.openxmlformats.org/spreadsheetml/2006/main" count="968" uniqueCount="495">
  <si>
    <t xml:space="preserve">Mã TC</t>
  </si>
  <si>
    <t xml:space="preserve">Nhóm chức năng</t>
  </si>
  <si>
    <t xml:space="preserve">Tiêu đề</t>
  </si>
  <si>
    <t xml:space="preserve">Điều kiện tiên quyết</t>
  </si>
  <si>
    <t xml:space="preserve">Ưu tiên</t>
  </si>
  <si>
    <t xml:space="preserve">Bước thực hiện</t>
  </si>
  <si>
    <t xml:space="preserve">Dữ liệu kiểm thử</t>
  </si>
  <si>
    <t xml:space="preserve">Kết quả mong đợi</t>
  </si>
  <si>
    <t xml:space="preserve">Kết quả thực tế</t>
  </si>
  <si>
    <t xml:space="preserve">Pass/Fail</t>
  </si>
  <si>
    <t xml:space="preserve">Mã bug</t>
  </si>
  <si>
    <t xml:space="preserve">Thông tin địa chỉ thanh toán hợp lệ</t>
  </si>
  <si>
    <t xml:space="preserve">Hiển thị đầy đủ các trường địa chỉ thanh toán trên trang giỏ hàng</t>
  </si>
  <si>
    <t xml:space="preserve">Người dùng đang ở trang giỏ hàng (basket page) và khu vực nhập địa chỉ thanh toán được hiển thị.</t>
  </si>
  <si>
    <t xml:space="preserve">High</t>
  </si>
  <si>
    <t xml:space="preserve">1. Quan sát khu vực nhập địa chỉ thanh toán trên trang giỏ hàng.
2. Nhấp lần lượt vào từng trường để kiểm tra có thể focus và nhập liệu.</t>
  </si>
  <si>
    <t xml:space="preserve">—</t>
  </si>
  <si>
    <t xml:space="preserve">1. Hiển thị đầy đủ các trường: First name, Last name, Email, Address, Postcode.
2. Mỗi trường đều có thể focus và sẵn sàng nhận dữ liệu nhập.</t>
  </si>
  <si>
    <t xml:space="preserve">Đúng như kết quả mong đợi</t>
  </si>
  <si>
    <t xml:space="preserve">Pass</t>
  </si>
  <si>
    <t xml:space="preserve">Nhập dữ liệu hợp lệ cho tất cả trường và không hiển thị lỗi</t>
  </si>
  <si>
    <t xml:space="preserve">Người dùng đang ở trang giỏ hàng và form địa chỉ thanh toán đang trống hoặc có thể chỉnh sửa.</t>
  </si>
  <si>
    <t xml:space="preserve">1. Nhập First name hợp lệ.
2. Nhập Last name hợp lệ.
3. Nhập Email đúng định dạng.
4. Nhập Address hợp lệ.
5. Nhập Postcode theo quy tắc được hỗ trợ.
6. Thực hiện thao tác kích hoạt xác thực (ví dụ: rời focus khỏi trường hoặc thực hiện hành động tiếp tục/đặt hàng nếu có).</t>
  </si>
  <si>
    <t xml:space="preserve">B1: Nguyen
B2: Van A
B3: user@example.com
B4: 123 Duong ABC, Quan 1
B5: 700000</t>
  </si>
  <si>
    <t xml:space="preserve">1. Giá trị được nhập và hiển thị trong trường First name.
2. Giá trị được nhập và hiển thị trong trường Last name.
3. Giá trị được nhập và hiển thị trong trường Email; không hiển thị lỗi định dạng email.
4. Giá trị được nhập và hiển thị trong trường Address.
5. Giá trị được nhập và hiển thị trong trường Postcode; không hiển thị lỗi định dạng postcode.
6. Không có thông báo lỗi cho bất kỳ trường nào khi tất cả dữ liệu hợp lệ.</t>
  </si>
  <si>
    <t xml:space="preserve">Thông tin địa chỉ thanh toán không hợp lệ</t>
  </si>
  <si>
    <t xml:space="preserve">Bỏ trống tất cả trường bắt buộc và kiểm tra thông báo lỗi</t>
  </si>
  <si>
    <t xml:space="preserve">Người dùng đang ở trang giỏ hàng; form địa chỉ thanh toán có thể chỉnh sửa; các trường đang trống.</t>
  </si>
  <si>
    <t xml:space="preserve">1. Đảm bảo tất cả trường First name, Last name, Email, Address, Postcode đang để trống.
2. Kích hoạt xác thực (ví dụ: rời focus khỏi từng trường hoặc thực hiện hành động tiếp tục/đặt hàng nếu có).</t>
  </si>
  <si>
    <t xml:space="preserve">1. Tất cả trường hiển thị trống.
2. Hệ thống hiển thị thông báo lỗi cho các trường bắt buộc bị bỏ trống.</t>
  </si>
  <si>
    <t xml:space="preserve">Bỏ trống riêng trường First name và kiểm tra lỗi bắt buộc</t>
  </si>
  <si>
    <t xml:space="preserve">Người dùng đang ở trang giỏ hàng; form địa chỉ thanh toán có thể chỉnh sửa.</t>
  </si>
  <si>
    <t xml:space="preserve">1. Nhập Last name hợp lệ.
2. Nhập Email đúng định dạng.
3. Nhập Address hợp lệ.
4. Nhập Postcode theo quy tắc được hỗ trợ.
5. Để trống trường First name và kích hoạt xác thực.</t>
  </si>
  <si>
    <t xml:space="preserve">B1: Van A
B2: user@example.com
B3: 123 Duong ABC
B4: 700000</t>
  </si>
  <si>
    <t xml:space="preserve">1. Last name được chấp nhận, không hiển thị lỗi.
2. Email được chấp nhận, không hiển thị lỗi định dạng.
3. Address được chấp nhận, không hiển thị lỗi.
4. Postcode được chấp nhận, không hiển thị lỗi định dạng.
5. Hệ thống hiển thị thông báo lỗi bắt buộc cho trường First name; các trường khác không bị báo lỗi.</t>
  </si>
  <si>
    <t xml:space="preserve">Bỏ trống riêng trường Last name và kiểm tra lỗi bắt buộc</t>
  </si>
  <si>
    <t xml:space="preserve">1. Nhập First name hợp lệ.
2. Nhập Email đúng định dạng.
3. Nhập Address hợp lệ.
4. Nhập Postcode theo quy tắc được hỗ trợ.
5. Để trống trường Last name và kích hoạt xác thực.</t>
  </si>
  <si>
    <t xml:space="preserve">B1: Nguyen
B2: user@example.com
B3: 123 Duong ABC
B4: 700000</t>
  </si>
  <si>
    <t xml:space="preserve">1. First name được chấp nhận, không hiển thị lỗi.
2. Email được chấp nhận, không hiển thị lỗi định dạng.
3. Address được chấp nhận, không hiển thị lỗi.
4. Postcode được chấp nhận, không hiển thị lỗi định dạng.
5. Hệ thống hiển thị thông báo lỗi bắt buộc cho trường Last name; các trường khác không bị báo lỗi.</t>
  </si>
  <si>
    <t xml:space="preserve">Bỏ trống riêng trường Email và kiểm tra lỗi bắt buộc</t>
  </si>
  <si>
    <t xml:space="preserve">1. Nhập First name hợp lệ.
2. Nhập Last name hợp lệ.
3. Nhập Address hợp lệ.
4. Nhập Postcode theo quy tắc được hỗ trợ.
5. Để trống trường Email và kích hoạt xác thực.</t>
  </si>
  <si>
    <t xml:space="preserve">B1: Nguyen
B2: Van A
B3: 123 Duong ABC
B4: 700000</t>
  </si>
  <si>
    <t xml:space="preserve">1. First name được chấp nhận, không hiển thị lỗi.
2. Last name được chấp nhận, không hiển thị lỗi.
3. Address được chấp nhận, không hiển thị lỗi.
4. Postcode được chấp nhận, không hiển thị lỗi định dạng.
5. Hệ thống hiển thị thông báo lỗi bắt buộc cho trường Email.</t>
  </si>
  <si>
    <t xml:space="preserve">Nhập Email sai định dạng và kiểm tra thông báo lỗi</t>
  </si>
  <si>
    <t xml:space="preserve">1. Nhập Email sai định dạng.
2. Kích hoạt xác thực cho trường Email (rời focus hoặc thực hiện hành động tiếp tục/đặt hàng nếu có).</t>
  </si>
  <si>
    <t xml:space="preserve">B1: userexample.com</t>
  </si>
  <si>
    <t xml:space="preserve">1. Giá trị được nhập vào trường Email.
2. Hệ thống hiển thị thông báo lỗi do Email không đúng định dạng.</t>
  </si>
  <si>
    <t xml:space="preserve">không có thông báo lỗi và email sai định dạng vẫn được chấp nhận</t>
  </si>
  <si>
    <t xml:space="preserve">Fail</t>
  </si>
  <si>
    <t xml:space="preserve">BUG-03</t>
  </si>
  <si>
    <t xml:space="preserve">Nhập Email thiếu phần tên miền và kiểm tra lỗi định dạng</t>
  </si>
  <si>
    <t xml:space="preserve">Medium</t>
  </si>
  <si>
    <t xml:space="preserve">1. Nhập Email sai định dạng (thiếu tên miền hợp lệ).
2. Kích hoạt xác thực cho trường Email.</t>
  </si>
  <si>
    <t xml:space="preserve">B1: user@</t>
  </si>
  <si>
    <t xml:space="preserve">Không có thông báo lỗi và email sai định dạng vẫn được chấp nhận</t>
  </si>
  <si>
    <t xml:space="preserve">BUG-04</t>
  </si>
  <si>
    <t xml:space="preserve">Nhập Postcode không khớp quy tắc được hỗ trợ và kiểm tra thông báo lỗi</t>
  </si>
  <si>
    <t xml:space="preserve">1. Nhập Postcode không hợp lệ (không khớp quy tắc được hỗ trợ).
2. Kích hoạt xác thực cho trường Postcode (rời focus hoặc thực hiện hành động tiếp tục/đặt hàng nếu có).</t>
  </si>
  <si>
    <t xml:space="preserve">B1: INVALID</t>
  </si>
  <si>
    <t xml:space="preserve">1. Giá trị được nhập vào trường Postcode.
2. Hệ thống hiển thị thông báo lỗi do Postcode không đúng định dạng/quy tắc được hỗ trợ.</t>
  </si>
  <si>
    <t xml:space="preserve">Bỏ trống riêng trường Postcode và kiểm tra lỗi bắt buộc</t>
  </si>
  <si>
    <t xml:space="preserve">1. Nhập First name hợp lệ.
2. Nhập Last name hợp lệ.
3. Nhập Email đúng định dạng.
4. Nhập Address hợp lệ.
5. Để trống trường Postcode và kích hoạt xác thực.</t>
  </si>
  <si>
    <t xml:space="preserve">B1: Nguyen
B2: Van A
B3: user@example.com
B4: 123 Duong ABC</t>
  </si>
  <si>
    <t xml:space="preserve">1. First name được chấp nhận, không hiển thị lỗi.
2. Last name được chấp nhận, không hiển thị lỗi.
3. Email được chấp nhận, không hiển thị lỗi định dạng.
4. Address được chấp nhận, không hiển thị lỗi.
5. Hệ thống hiển thị thông báo lỗi bắt buộc cho trường Postcode.</t>
  </si>
  <si>
    <t xml:space="preserve">Bỏ trống riêng trường Address và kiểm tra lỗi bắt buộc</t>
  </si>
  <si>
    <t xml:space="preserve">1. Nhập First name hợp lệ.
2. Nhập Last name hợp lệ.
3. Nhập Email đúng định dạng.
4. Nhập Postcode theo quy tắc được hỗ trợ.
5. Để trống trường Address và kích hoạt xác thực.</t>
  </si>
  <si>
    <t xml:space="preserve">B1: Nguyen
B2: Van A
B3: user@example.com
B4: 700000</t>
  </si>
  <si>
    <t xml:space="preserve">1. First name được chấp nhận, không hiển thị lỗi.
2. Last name được chấp nhận, không hiển thị lỗi.
3. Email được chấp nhận, không hiển thị lỗi định dạng.
4. Postcode được chấp nhận, không hiển thị lỗi định dạng.
5. Hệ thống hiển thị thông báo lỗi bắt buộc cho trường Address.</t>
  </si>
  <si>
    <t xml:space="preserve">Kết hợp lỗi: Email sai định dạng và Postcode sai quy tắc cùng lúc</t>
  </si>
  <si>
    <t xml:space="preserve">1. Nhập First name hợp lệ.
2. Nhập Last name hợp lệ.
3. Nhập Address hợp lệ.
4. Nhập Email sai định dạng.
5. Nhập Postcode không khớp quy tắc được hỗ trợ.
6. Kích hoạt xác thực (rời focus hoặc thực hiện hành động tiếp tục/đặt hàng nếu có).</t>
  </si>
  <si>
    <t xml:space="preserve">B1: Nguyen
B2: Van A
B3: 123 Duong ABC
B4: userexample.com
B5: INVALID</t>
  </si>
  <si>
    <t xml:space="preserve">1. First name được chấp nhận, không hiển thị lỗi.
2. Last name được chấp nhận, không hiển thị lỗi.
3. Address được chấp nhận, không hiển thị lỗi.
4. Email được nhập; chưa cần kết luận cho đến khi xác thực.
5. Postcode được nhập; chưa cần kết luận cho đến khi xác thực.
6. Hệ thống hiển thị thông báo lỗi cho cả Email (sai định dạng) và Postcode (không đúng quy tắc được hỗ trợ); các trường hợp lệ không bị báo lỗi.</t>
  </si>
  <si>
    <t xml:space="preserve">Không có thông báo lỗi và đơn hàng đặt thành công</t>
  </si>
  <si>
    <t xml:space="preserve">BUG-05</t>
  </si>
  <si>
    <t xml:space="preserve">Sửa Email từ sai định dạng sang đúng định dạng và lỗi được gỡ bỏ</t>
  </si>
  <si>
    <t xml:space="preserve">1. Nhập Email sai định dạng và kích hoạt xác thực.
2. Sửa Email sang đúng định dạng.
3. Kích hoạt xác thực lại cho trường Email.</t>
  </si>
  <si>
    <t xml:space="preserve">B1: userexample.com
B2: user@example.com</t>
  </si>
  <si>
    <t xml:space="preserve">1. Hệ thống hiển thị thông báo lỗi do Email không đúng định dạng.
2. Giá trị Email được cập nhật thành đúng định dạng.
3. Thông báo lỗi Email không còn hiển thị.</t>
  </si>
  <si>
    <t xml:space="preserve">Email sai định dạng được chấp nhận từ đầu</t>
  </si>
  <si>
    <t xml:space="preserve">BUG-06</t>
  </si>
  <si>
    <t xml:space="preserve">Sửa Postcode từ không hợp lệ sang hợp lệ và lỗi được gỡ bỏ</t>
  </si>
  <si>
    <t xml:space="preserve">1. Nhập Postcode không khớp quy tắc được hỗ trợ và kích hoạt xác thực.
2. Sửa Postcode sang giá trị hợp lệ theo quy tắc được hỗ trợ.
3. Kích hoạt xác thực lại cho trường Postcode.</t>
  </si>
  <si>
    <t xml:space="preserve">B1: INVALID
B2: 700000</t>
  </si>
  <si>
    <t xml:space="preserve">1. Hệ thống hiển thị thông báo lỗi do Postcode không đúng định dạng/quy tắc được hỗ trợ.
2. Giá trị Postcode được cập nhật.
3. Thông báo lỗi Postcode không còn hiển thị.</t>
  </si>
  <si>
    <t xml:space="preserve">Postcode sai từ đầu nhưng vẫn được chấp nhận</t>
  </si>
  <si>
    <t xml:space="preserve">BUG-07</t>
  </si>
  <si>
    <t xml:space="preserve">Thông tin thanh toán hợp lệ</t>
  </si>
  <si>
    <t xml:space="preserve">Hiển thị đầy đủ các trường thanh toán với nhãn đúng</t>
  </si>
  <si>
    <t xml:space="preserve">Người dùng đang ở màn hình/biểu mẫu nhập thông tin thanh toán.</t>
  </si>
  <si>
    <t xml:space="preserve">1. Quan sát khu vực thông tin thanh toán trên UI.
2. Kiểm tra nhãn của từng trường thanh toán.</t>
  </si>
  <si>
    <t xml:space="preserve">1. Tất cả các trường thanh toán bắt buộc được hiển thị đầy đủ và rõ ràng.
2. Mỗi trường có nhãn đúng, không bị thiếu/nhầm lẫn, phù hợp với mục đích nhập liệu (tên chủ thẻ, số thẻ, ngày hết hạn, CVV).</t>
  </si>
  <si>
    <t xml:space="preserve">Thanh toán thành công với dữ liệu hợp lệ</t>
  </si>
  <si>
    <t xml:space="preserve">Người dùng đang ở màn hình thanh toán; hệ thống sẵn sàng xử lý giao dịch.</t>
  </si>
  <si>
    <t xml:space="preserve">1. Nhập tên chủ thẻ hợp lệ.
2. Nhập số thẻ tín dụng là số test hợp lệ.
3. Nhập ngày hết hạn ở tương lai theo đúng định dạng hệ thống yêu cầu.
4. Nhập CVV đúng định dạng.
5. Thực hiện hành động thanh toán/xác nhận giao dịch.</t>
  </si>
  <si>
    <t xml:space="preserve">B1: Tên chủ thẻ hợp lệ
B2: Số thẻ test hợp lệ
B3: Ngày hết hạn trong tương lai (đúng định dạng)
B4: CVV đúng định dạng</t>
  </si>
  <si>
    <t xml:space="preserve">1. Trường tên chủ thẻ chấp nhận dữ liệu, không hiển thị lỗi.
2. Trường số thẻ chấp nhận dữ liệu, không hiển thị lỗi.
3. Trường ngày hết hạn chấp nhận dữ liệu, không hiển thị lỗi.
4. Trường CVV chấp nhận dữ liệu, không hiển thị lỗi.
5. Hệ thống xử lý giao dịch thành công khi thông tin thanh toán hợp lệ.</t>
  </si>
  <si>
    <t xml:space="preserve">Thông tin thanh toán không hợp lệ</t>
  </si>
  <si>
    <t xml:space="preserve">Từ chối thanh toán khi thiếu tất cả trường bắt buộc</t>
  </si>
  <si>
    <t xml:space="preserve">Người dùng đang ở màn hình thanh toán; các trường đang trống.</t>
  </si>
  <si>
    <t xml:space="preserve">1. Không nhập dữ liệu vào bất kỳ trường nào.
2. Nhấn thanh toán/xác nhận giao dịch.</t>
  </si>
  <si>
    <t xml:space="preserve">1. Các trường vẫn trống, chưa có giao dịch được gửi.
2. Hệ thống từ chối thanh toán và hiển thị thông báo lỗi phù hợp cho các trường bắt buộc bị thiếu.</t>
  </si>
  <si>
    <t xml:space="preserve">Từ chối thanh toán khi thiếu tên chủ thẻ</t>
  </si>
  <si>
    <t xml:space="preserve">Người dùng đang ở màn hình thanh toán.</t>
  </si>
  <si>
    <t xml:space="preserve">1. Để trống trường tên chủ thẻ.
2. Nhập số thẻ test hợp lệ.
3. Nhập ngày hết hạn trong tương lai (đúng định dạng).
4. Nhập CVV đúng định dạng.
5. Nhấn thanh toán/xác nhận giao dịch.</t>
  </si>
  <si>
    <t xml:space="preserve">B2: Số thẻ test hợp lệ
B3: Ngày hết hạn trong tương lai (đúng định dạng)
B4: CVV đúng định dạng</t>
  </si>
  <si>
    <t xml:space="preserve">1. Trường tên chủ thẻ không có dữ liệu.
2. Trường số thẻ chấp nhận dữ liệu.
3. Trường ngày hết hạn chấp nhận dữ liệu.
4. Trường CVV chấp nhận dữ liệu.
5. Hệ thống từ chối thanh toán và hiển thị lỗi cho trường tên chủ thẻ bị thiếu.</t>
  </si>
  <si>
    <t xml:space="preserve">Từ chối thanh toán khi thiếu số thẻ</t>
  </si>
  <si>
    <t xml:space="preserve">1. Nhập tên chủ thẻ hợp lệ.
2. Để trống trường số thẻ.
3. Nhập ngày hết hạn trong tương lai (đúng định dạng).
4. Nhập CVV đúng định dạng.
5. Nhấn thanh toán/xác nhận giao dịch.</t>
  </si>
  <si>
    <t xml:space="preserve">B1: Tên chủ thẻ hợp lệ
B3: Ngày hết hạn trong tương lai (đúng định dạng)
B4: CVV đúng định dạng</t>
  </si>
  <si>
    <t xml:space="preserve">1. Trường tên chủ thẻ chấp nhận dữ liệu.
2. Trường số thẻ không có dữ liệu.
3. Trường ngày hết hạn chấp nhận dữ liệu.
4. Trường CVV chấp nhận dữ liệu.
5. Hệ thống từ chối thanh toán và hiển thị lỗi cho trường số thẻ bị thiếu.</t>
  </si>
  <si>
    <t xml:space="preserve">Từ chối thanh toán khi thiếu ngày hết hạn</t>
  </si>
  <si>
    <t xml:space="preserve">1. Nhập tên chủ thẻ hợp lệ.
2. Nhập số thẻ test hợp lệ.
3. Để trống trường ngày hết hạn.
4. Nhập CVV đúng định dạng.
5. Nhấn thanh toán/xác nhận giao dịch.</t>
  </si>
  <si>
    <t xml:space="preserve">B1: Tên chủ thẻ hợp lệ
B2: Số thẻ test hợp lệ
B4: CVV đúng định dạng</t>
  </si>
  <si>
    <t xml:space="preserve">1. Trường tên chủ thẻ chấp nhận dữ liệu.
2. Trường số thẻ chấp nhận dữ liệu.
3. Trường ngày hết hạn không có dữ liệu.
4. Trường CVV chấp nhận dữ liệu.
5. Hệ thống từ chối thanh toán và hiển thị lỗi cho trường ngày hết hạn bị thiếu.</t>
  </si>
  <si>
    <t xml:space="preserve">Từ chối thanh toán khi thiếu CVV</t>
  </si>
  <si>
    <t xml:space="preserve">1. Nhập tên chủ thẻ hợp lệ.
2. Nhập số thẻ test hợp lệ.
3. Nhập ngày hết hạn trong tương lai (đúng định dạng).
4. Để trống trường CVV.
5. Nhấn thanh toán/xác nhận giao dịch.</t>
  </si>
  <si>
    <t xml:space="preserve">B1: Tên chủ thẻ hợp lệ
B2: Số thẻ test hợp lệ
B3: Ngày hết hạn trong tương lai (đúng định dạng)</t>
  </si>
  <si>
    <t xml:space="preserve">1. Trường tên chủ thẻ chấp nhận dữ liệu.
2. Trường số thẻ chấp nhận dữ liệu.
3. Trường ngày hết hạn chấp nhận dữ liệu.
4. Trường CVV không có dữ liệu.
5. Hệ thống từ chối thanh toán và hiển thị lỗi cho trường CVV bị thiếu.</t>
  </si>
  <si>
    <t xml:space="preserve">Từ chối khi số thẻ chứa ký tự không được hỗ trợ</t>
  </si>
  <si>
    <t xml:space="preserve">1. Nhập tên chủ thẻ hợp lệ.
2. Nhập số thẻ có chứa ký tự không được hỗ trợ.
3. Nhập ngày hết hạn trong tương lai (đúng định dạng).
4. Nhập CVV đúng định dạng.
5. Nhấn thanh toán/xác nhận giao dịch.</t>
  </si>
  <si>
    <t xml:space="preserve">B1: Tên chủ thẻ hợp lệ
B2: Số thẻ có ký tự không được hỗ trợ
B3: Ngày hết hạn trong tương lai (đúng định dạng)
B4: CVV đúng định dạng</t>
  </si>
  <si>
    <t xml:space="preserve">1. Trường tên chủ thẻ chấp nhận dữ liệu.
2. Hệ thống phát hiện dữ liệu không hợp lệ cho trường số thẻ và hiển thị thông báo lỗi phù hợp.
3. Trường ngày hết hạn chấp nhận dữ liệu.
4. Trường CVV chấp nhận dữ liệu.
5. Hệ thống từ chối thanh toán do số thẻ chứa ký tự không được hỗ trợ và hiển thị lỗi tương ứng.</t>
  </si>
  <si>
    <t xml:space="preserve">Số thẻ chứa chữ cái vẫn thanh toán thành công</t>
  </si>
  <si>
    <t xml:space="preserve">BUG-08</t>
  </si>
  <si>
    <t xml:space="preserve">Từ chối khi số thẻ không phải số test hợp lệ</t>
  </si>
  <si>
    <t xml:space="preserve">1. Nhập tên chủ thẻ hợp lệ.
2. Nhập số thẻ không phải số test hợp lệ.
3. Nhập ngày hết hạn trong tương lai (đúng định dạng).
4. Nhập CVV đúng định dạng.
5. Nhấn thanh toán/xác nhận giao dịch.</t>
  </si>
  <si>
    <t xml:space="preserve">B1: Tên chủ thẻ hợp lệ
B2: Số thẻ không phải số test hợp lệ
B3: Ngày hết hạn trong tương lai (đúng định dạng)
B4: CVV đúng định dạng</t>
  </si>
  <si>
    <t xml:space="preserve">1. Trường tên chủ thẻ chấp nhận dữ liệu.
2. Hệ thống phát hiện số thẻ không hợp lệ và hiển thị thông báo lỗi phù hợp.
3. Trường ngày hết hạn chấp nhận dữ liệu.
4. Trường CVV chấp nhận dữ liệu.
5. Hệ thống từ chối thanh toán do số thẻ không phải số test hợp lệ và hiển thị lỗi tương ứng.</t>
  </si>
  <si>
    <t xml:space="preserve">Số thẻ không hợp lệ vẫn đặt hàng thành công</t>
  </si>
  <si>
    <t xml:space="preserve">BUG-09</t>
  </si>
  <si>
    <t xml:space="preserve">Từ chối khi ngày hết hạn sai định dạng</t>
  </si>
  <si>
    <t xml:space="preserve">1. Nhập tên chủ thẻ hợp lệ.
2. Nhập số thẻ test hợp lệ.
3. Nhập ngày hết hạn sai định dạng.
4. Nhập CVV đúng định dạng.
5. Nhấn thanh toán/xác nhận giao dịch.</t>
  </si>
  <si>
    <t xml:space="preserve">B1: Tên chủ thẻ hợp lệ
B2: Số thẻ test hợp lệ
B3: Ngày hết hạn sai định dạng
B4: CVV đúng định dạng</t>
  </si>
  <si>
    <t xml:space="preserve">1. Trường tên chủ thẻ chấp nhận dữ liệu.
2. Trường số thẻ chấp nhận dữ liệu.
3. Hệ thống phát hiện định dạng ngày hết hạn không đúng và hiển thị thông báo lỗi phù hợp.
4. Trường CVV chấp nhận dữ liệu.
5. Hệ thống từ chối thanh toán do ngày hết hạn sai định dạng và hiển thị lỗi tương ứng.</t>
  </si>
  <si>
    <t xml:space="preserve">Hệ thống tạo đơn hàng thành công</t>
  </si>
  <si>
    <t xml:space="preserve">BUG-10</t>
  </si>
  <si>
    <t xml:space="preserve">Từ chối khi ngày hết hạn là ngày trong quá khứ</t>
  </si>
  <si>
    <t xml:space="preserve">1. Nhập tên chủ thẻ hợp lệ.
2. Nhập số thẻ test hợp lệ.
3. Nhập ngày hết hạn là ngày trong quá khứ (đúng định dạng).
4. Nhập CVV đúng định dạng.
5. Nhấn thanh toán/xác nhận giao dịch.</t>
  </si>
  <si>
    <t xml:space="preserve">B1: Tên chủ thẻ hợp lệ
B2: Số thẻ test hợp lệ
B3: Ngày hết hạn trong quá khứ (đúng định dạng)
B4: CVV đúng định dạng</t>
  </si>
  <si>
    <t xml:space="preserve">1. Trường tên chủ thẻ chấp nhận dữ liệu.
2. Trường số thẻ chấp nhận dữ liệu.
3. Hệ thống phát hiện ngày hết hạn không hợp lệ (đã qua) và hiển thị thông báo lỗi phù hợp.
4. Trường CVV chấp nhận dữ liệu.
5. Hệ thống từ chối thanh toán do ngày hết hạn trong quá khứ và hiển thị lỗi tương ứng.</t>
  </si>
  <si>
    <t xml:space="preserve">BUG-11</t>
  </si>
  <si>
    <t xml:space="preserve">Chấp nhận khi ngày hết hạn là ngày trong tương lai</t>
  </si>
  <si>
    <t xml:space="preserve">1. Nhập tên chủ thẻ hợp lệ.
2. Nhập số thẻ test hợp lệ.
3. Nhập ngày hết hạn trong tương lai (đúng định dạng).
4. Nhập CVV đúng định dạng.
5. Nhấn thanh toán/xác nhận giao dịch.</t>
  </si>
  <si>
    <t xml:space="preserve">1. Trường tên chủ thẻ chấp nhận dữ liệu.
2. Trường số thẻ chấp nhận dữ liệu.
3. Hệ thống chấp nhận ngày hết hạn và không hiển thị lỗi.
4. Trường CVV chấp nhận dữ liệu.
5. Hệ thống xử lý giao dịch thành công khi tất cả thông tin hợp lệ.</t>
  </si>
  <si>
    <t xml:space="preserve">Từ chối khi CVV không hợp lệ</t>
  </si>
  <si>
    <t xml:space="preserve">1. Nhập tên chủ thẻ hợp lệ.
2. Nhập số thẻ test hợp lệ.
3. Nhập ngày hết hạn trong tương lai (đúng định dạng).
4. Nhập CVV không hợp lệ.
5. Nhấn thanh toán/xác nhận giao dịch.</t>
  </si>
  <si>
    <t xml:space="preserve">B1: Tên chủ thẻ hợp lệ
B2: Số thẻ test hợp lệ
B3: Ngày hết hạn trong tương lai (đúng định dạng)
B4: CVV không hợp lệ</t>
  </si>
  <si>
    <t xml:space="preserve">1. Trường tên chủ thẻ chấp nhận dữ liệu.
2. Trường số thẻ chấp nhận dữ liệu.
3. Trường ngày hết hạn chấp nhận dữ liệu.
4. Hệ thống phát hiện CVV không hợp lệ và hiển thị thông báo lỗi phù hợp.
5. Hệ thống từ chối thanh toán do CVV không hợp lệ và hiển thị lỗi tương ứng.</t>
  </si>
  <si>
    <t xml:space="preserve">BUG-12</t>
  </si>
  <si>
    <t xml:space="preserve">Từ chối khi tên chủ thẻ không hợp lệ</t>
  </si>
  <si>
    <t xml:space="preserve">1. Nhập tên chủ thẻ không hợp lệ.
2. Nhập số thẻ test hợp lệ.
3. Nhập ngày hết hạn trong tương lai (đúng định dạng).
4. Nhập CVV đúng định dạng.
5. Nhấn thanh toán/xác nhận giao dịch.</t>
  </si>
  <si>
    <t xml:space="preserve">B1: Tên chủ thẻ không hợp lệ
B2: Số thẻ test hợp lệ
B3: Ngày hết hạn trong tương lai (đúng định dạng)
B4: CVV đúng định dạng</t>
  </si>
  <si>
    <t xml:space="preserve">1. Hệ thống phát hiện tên chủ thẻ không hợp lệ và hiển thị thông báo lỗi phù hợp.
2. Trường số thẻ chấp nhận dữ liệu.
3. Trường ngày hết hạn chấp nhận dữ liệu.
4. Trường CVV chấp nhận dữ liệu.
5. Hệ thống từ chối thanh toán do tên chủ thẻ không hợp lệ và hiển thị lỗi tương ứng.</t>
  </si>
  <si>
    <t xml:space="preserve">BUG-13</t>
  </si>
  <si>
    <t xml:space="preserve">Hiển thị thông báo lỗi phù hợp cho nhiều lỗi đồng thời</t>
  </si>
  <si>
    <t xml:space="preserve">1. Nhập tên chủ thẻ không hợp lệ.
2. Nhập số thẻ có ký tự không được hỗ trợ.
3. Nhập ngày hết hạn sai định dạng hoặc là ngày trong quá khứ.
4. Nhập CVV không hợp lệ.
5. Nhấn thanh toán/xác nhận giao dịch.</t>
  </si>
  <si>
    <t xml:space="preserve">B1: Tên chủ thẻ không hợp lệ
B2: Số thẻ có ký tự không được hỗ trợ
B3: Ngày hết hạn sai định dạng hoặc trong quá khứ
B4: CVV không hợp lệ</t>
  </si>
  <si>
    <t xml:space="preserve">1. Hệ thống có thể đánh dấu trường tên chủ thẻ không hợp lệ.
2. Hệ thống có thể đánh dấu trường số thẻ không hợp lệ.
3. Hệ thống có thể đánh dấu trường ngày hết hạn không hợp lệ.
4. Hệ thống có thể đánh dấu trường CVV không hợp lệ.
5. Hệ thống từ chối thanh toán và hiển thị các thông báo lỗi phù hợp tương ứng với từng trường sai/thiếu.</t>
  </si>
  <si>
    <t xml:space="preserve">Kiểm thử hiển thị và thao tác giỏ hàng hợp lệ</t>
  </si>
  <si>
    <t xml:space="preserve">Hiển thị đúng tên sản phẩm, số lượng và giá cho giỏ hàng có nhiều sản phẩm</t>
  </si>
  <si>
    <t xml:space="preserve">Người dùng đang ở màn hình giỏ hàng và giỏ hàng có nhiều sản phẩm đã được thêm trước đó.</t>
  </si>
  <si>
    <t xml:space="preserve">1. Mở màn hình giỏ hàng
2. Quan sát từng dòng sản phẩm trong danh sách</t>
  </si>
  <si>
    <t xml:space="preserve">1. Danh sách sản phẩm trong giỏ hàng được hiển thị.
2. Mỗi sản phẩm hiển thị đúng tên sản phẩm, số lượng và giá tương ứng.</t>
  </si>
  <si>
    <t xml:space="preserve">Tính tổng tiền chính xác dựa trên giá sản phẩm trong giỏ hàng</t>
  </si>
  <si>
    <t xml:space="preserve">Người dùng đang ở màn hình giỏ hàng và giỏ hàng có ít nhất 2 sản phẩm với giá hiển thị rõ ràng.</t>
  </si>
  <si>
    <t xml:space="preserve">1. Mở màn hình giỏ hàng
2. Ghi nhận giá của từng sản phẩm đang hiển thị trong giỏ hàng
3. Tính tổng tiền kỳ vọng bằng cách cộng giá của tất cả sản phẩm đang hiển thị
4. So sánh tổng tiền hiển thị trên UI với tổng tiền kỳ vọng</t>
  </si>
  <si>
    <t xml:space="preserve">1. Tổng tiền và danh sách sản phẩm được hiển thị.
2. Có thể đọc được giá của từng sản phẩm để đối chiếu.
3. Có được tổng tiền kỳ vọng bằng tổng giá các sản phẩm.
4. Tổng tiền hiển thị khớp với tổng tiền kỳ vọng.</t>
  </si>
  <si>
    <t xml:space="preserve">Cập nhật tổng tiền đúng sau khi xóa một sản phẩm khỏi giỏ hàng</t>
  </si>
  <si>
    <t xml:space="preserve">Người dùng đang ở màn hình giỏ hàng và giỏ hàng có nhiều sản phẩm; tổng tiền đang hiển thị.</t>
  </si>
  <si>
    <t xml:space="preserve">1. Ghi nhận tổng tiền hiện tại và danh sách sản phẩm đang có
2. Xóa một sản phẩm bất kỳ khỏi giỏ hàng bằng thao tác xóa trên UI
3. Tính tổng tiền kỳ vọng bằng cách cộng giá của các sản phẩm còn lại sau khi xóa
4. So sánh tổng tiền hiển thị sau khi xóa với tổng tiền kỳ vọng</t>
  </si>
  <si>
    <t xml:space="preserve">1. Tổng tiền hiện tại và các sản phẩm hiện có được ghi nhận để đối chiếu.
2. Sản phẩm được xóa khỏi danh sách hiển thị.
3. Tổng tiền kỳ vọng phản ánh tổng của các sản phẩm còn lại.
4. Tổng tiền hiển thị sau khi xóa khớp với tổng tiền kỳ vọng và phản ánh tổng của các sản phẩm còn lại.</t>
  </si>
  <si>
    <t xml:space="preserve">Không hiển thị sản phẩm đã bị xóa khỏi danh sách giỏ hàng</t>
  </si>
  <si>
    <t xml:space="preserve">Người dùng đang ở màn hình giỏ hàng và có ít nhất 1 sản phẩm trong giỏ hàng.</t>
  </si>
  <si>
    <t xml:space="preserve">1. Xác định một sản phẩm cụ thể đang hiển thị trong giỏ hàng
2. Thực hiện thao tác xóa sản phẩm mục tiêu khỏi giỏ hàng
3. Tải lại/refresh màn hình giỏ hàng (nếu có) hoặc quay lại rồi vào lại giỏ hàng</t>
  </si>
  <si>
    <t xml:space="preserve">1. Sản phẩm mục tiêu đang xuất hiện trong danh sách.
2. Sản phẩm mục tiêu biến mất khỏi danh sách giỏ hàng.
3. Sản phẩm đã xóa vẫn không xuất hiện lại trong danh sách.</t>
  </si>
  <si>
    <t xml:space="preserve">Xóa lần lượt tất cả sản phẩm: không còn sản phẩm nào được hiển thị</t>
  </si>
  <si>
    <t xml:space="preserve">Người dùng đang ở màn hình giỏ hàng và giỏ hàng có từ 1 sản phẩm trở lên.</t>
  </si>
  <si>
    <t xml:space="preserve">1. Thực hiện xóa từng sản phẩm trong giỏ hàng cho đến khi không còn sản phẩm nào
2. Quan sát danh sách sản phẩm sau khi đã xóa hết</t>
  </si>
  <si>
    <t xml:space="preserve">1. Sau mỗi lần xóa, sản phẩm tương ứng biến mất khỏi danh sách.
2. Không còn sản phẩm nào được hiển thị trong giỏ hàng.</t>
  </si>
  <si>
    <t xml:space="preserve">Sử dụng chức năng Empty Basket để xóa toàn bộ sản phẩm trong giỏ hàng</t>
  </si>
  <si>
    <t xml:space="preserve">Người dùng đang ở màn hình giỏ hàng và giỏ hàng có nhiều sản phẩm.</t>
  </si>
  <si>
    <t xml:space="preserve">1. Nhấn/Chọn chức năng Empty Basket trên UI
2. Quan sát danh sách sản phẩm sau khi Empty Basket
3. Quan sát trạng thái giỏ hàng</t>
  </si>
  <si>
    <t xml:space="preserve">1. Tất cả sản phẩm bị xóa khỏi giỏ hàng.
2. Không có sản phẩm nào được hiển thị.
3. Hệ thống hiển thị trạng thái phù hợp khi giỏ hàng trống.</t>
  </si>
  <si>
    <t xml:space="preserve">Tổng tiền phản ánh tổng của các sản phẩm còn lại sau khi Empty Basket</t>
  </si>
  <si>
    <t xml:space="preserve">Người dùng đang ở màn hình giỏ hàng và giỏ hàng có ít nhất 1 sản phẩm; tổng tiền đang hiển thị.</t>
  </si>
  <si>
    <t xml:space="preserve">1. Ghi nhận tổng tiền trước khi thực hiện Empty Basket
2. Thực hiện Empty Basket
3. Quan sát tổng tiền sau khi Empty Basket</t>
  </si>
  <si>
    <t xml:space="preserve">1. Tổng tiền trước khi xóa được ghi nhận.
2. Giỏ hàng được xóa toàn bộ sản phẩm.
3. Tổng tiền phản ánh trạng thái không còn sản phẩm trong giỏ hàng (không còn tổng của các sản phẩm đã bị xóa).</t>
  </si>
  <si>
    <t xml:space="preserve">Kiểm thử trạng thái giỏ hàng trống</t>
  </si>
  <si>
    <t xml:space="preserve">Hiển thị trạng thái phù hợp khi giỏ hàng trống sau khi xóa hết sản phẩm</t>
  </si>
  <si>
    <t xml:space="preserve">Người dùng đang ở màn hình giỏ hàng và giỏ hàng có ít nhất 1 sản phẩm.</t>
  </si>
  <si>
    <t xml:space="preserve">1. Xóa tất cả sản phẩm trong giỏ hàng
2. Quan sát khu vực trạng thái/thông báo của giỏ hàng</t>
  </si>
  <si>
    <t xml:space="preserve">1. Danh sách sản phẩm không còn hiển thị sản phẩm nào.
2. Hệ thống hiển thị trạng thái phù hợp cho giỏ hàng trống.</t>
  </si>
  <si>
    <t xml:space="preserve">Giỏ hàng trống ngay từ đầu: hiển thị trạng thái phù hợp và không hiển thị sản phẩm</t>
  </si>
  <si>
    <t xml:space="preserve">Người dùng đang ở màn hình giỏ hàng và giỏ hàng đang trống (không có sản phẩm).</t>
  </si>
  <si>
    <t xml:space="preserve">1. Mở màn hình giỏ hàng khi giỏ hàng trống
2. Quan sát danh sách sản phẩm</t>
  </si>
  <si>
    <t xml:space="preserve">1. Hệ thống hiển thị trạng thái phù hợp cho giỏ hàng trống.
2. Không có sản phẩm nào được hiển thị trong danh sách.</t>
  </si>
  <si>
    <t xml:space="preserve">Kiểm thử lựa chọn phương thức giao hàng hợp lệ</t>
  </si>
  <si>
    <t xml:space="preserve">Mặc định phương thức giao hàng là Collect (FREE)</t>
  </si>
  <si>
    <t xml:space="preserve">Người dùng đang ở màn hình có lựa chọn phương thức giao hàng và hiển thị tổng tiền.</t>
  </si>
  <si>
    <t xml:space="preserve">1. Mở màn hình có lựa chọn phương thức giao hàng.
2. Quan sát phí vận chuyển và tổng tiền hiển thị.
3. Kiểm tra giá trị tổng tiền không hiển thị NaN.</t>
  </si>
  <si>
    <t xml:space="preserve">1. Collect (FREE) được chọn mặc định; Standard Shipping không được chọn.
2. Phí vận chuyển tương ứng Collect là FREE và tổng tiền không bao gồm phí £1.99.
3. Tổng tiền hiển thị là một giá trị hợp lệ, không phải NaN.</t>
  </si>
  <si>
    <t xml:space="preserve">Chuyển từ Collect (FREE) sang Standard Shipping (£1.99) và tổng tiền cập nhật đúng</t>
  </si>
  <si>
    <t xml:space="preserve">Người dùng đang ở màn hình có lựa chọn phương thức giao hàng; mặc định Collect (FREE) đang được chọn.</t>
  </si>
  <si>
    <t xml:space="preserve">1. Ghi nhận tổng tiền hiện tại khi Collect (FREE) đang được chọn.
2. Chọn phương thức Standard Shipping (£1.99).
3. Quan sát phí vận chuyển và tổng tiền sau khi chọn Standard Shipping.
4. Kiểm tra tổng tiền không hiển thị NaN.</t>
  </si>
  <si>
    <t xml:space="preserve">1. Tổng tiền hiển thị hợp lệ và không có phí £1.99 được cộng.
2. Standard Shipping được chọn; Collect (FREE) bị bỏ chọn.
3. Phí vận chuyển hiển thị £1.99 và tổng tiền tăng đúng bằng £1.99 so với khi chọn Collect.
4. Tổng tiền hiển thị là giá trị hợp lệ, không phải NaN.</t>
  </si>
  <si>
    <t xml:space="preserve">- Tổng tiền hiển thị NaN (khi giỏ hàng chứa sản phẩm có giá chứa phần nhỏ lẻ như .75 .95) khi chọn Standard Shipping
-  Nếu giỏ hàng không chứa sản phẩm có giá chứa phần nhỏ lẻ như .75 .95 mà chọn Standard Shipping thì tổng sẽ bị sai(phí ship nối liền số tiền tổng sản phẩm )</t>
  </si>
  <si>
    <t xml:space="preserve">BUG-18</t>
  </si>
  <si>
    <t xml:space="preserve">Chuyển từ Standard Shipping (£1.99) về Collect (FREE) và loại bỏ phí không áp dụng</t>
  </si>
  <si>
    <t xml:space="preserve">Người dùng đang ở màn hình có lựa chọn phương thức giao hàng; Standard Shipping (£1.99) đang được chọn.</t>
  </si>
  <si>
    <t xml:space="preserve">1. Ghi nhận tổng tiền hiện tại khi Standard Shipping đang được chọn.
2. Chọn phương thức Collect (FREE).
3. Quan sát phí vận chuyển và tổng tiền sau khi chuyển về Collect.
4. Kiểm tra tổng tiền không hiển thị NaN.</t>
  </si>
  <si>
    <t xml:space="preserve">1. Tổng tiền hiển thị hợp lệ và đã bao gồm phí £1.99.
2. Collect (FREE) được chọn; Standard Shipping bị bỏ chọn.
3. Phí vận chuyển hiển thị FREE và tổng tiền giảm đúng bằng £1.99 so với khi chọn Standard Shipping; không còn khoản phí £1.99 trong tổng tiền.
4. Tổng tiền hiển thị là giá trị hợp lệ, không phải NaN.</t>
  </si>
  <si>
    <t xml:space="preserve">Đảm bảo chỉ một phương thức giao hàng được chọn tại một thời điểm</t>
  </si>
  <si>
    <t xml:space="preserve">Người dùng đang ở màn hình có 2 lựa chọn: Collect (FREE) và Standard Shipping (£1.99).</t>
  </si>
  <si>
    <t xml:space="preserve">1. Chọn Collect (FREE).
2. Chọn Standard Shipping (£1.99).
3. Chọn lại Collect (FREE).</t>
  </si>
  <si>
    <t xml:space="preserve">1. Collect (FREE) được chọn; Standard Shipping không được chọn.
2. Standard Shipping được chọn; Collect (FREE) tự động bị bỏ chọn.
3. Collect (FREE) được chọn; Standard Shipping tự động bị bỏ chọn.</t>
  </si>
  <si>
    <t xml:space="preserve">Hiển thị đúng nhãn phí: Collect (FREE) và Standard Shipping (£1.99)</t>
  </si>
  <si>
    <t xml:space="preserve">Người dùng đang ở màn hình có danh sách phương thức giao hàng.</t>
  </si>
  <si>
    <t xml:space="preserve">Low</t>
  </si>
  <si>
    <t xml:space="preserve">1. Quan sát danh sách phương thức giao hàng.
2. Chọn Collect (FREE) và quan sát phí hiển thị.
3. Chọn Standard Shipping (£1.99) và quan sát phí hiển thị.</t>
  </si>
  <si>
    <t xml:space="preserve">1. Có đúng 2 lựa chọn: Collect (FREE) và Standard Shipping (£1.99).
2. Phí hiển thị là FREE; không hiển thị £1.99 cho Collect.
3. Phí hiển thị đúng là £1.99; không hiển thị FREE cho Standard Shipping.</t>
  </si>
  <si>
    <t xml:space="preserve">Kiểm thử lỗi tính tổng tiền khi áp dụng phí giao hàng</t>
  </si>
  <si>
    <t xml:space="preserve">Tổng tiền không được cộng phí £1.99 khi Collect (FREE) được chọn</t>
  </si>
  <si>
    <t xml:space="preserve">Người dùng đang ở màn hình có hiển thị tổng tiền và lựa chọn phương thức giao hàng.</t>
  </si>
  <si>
    <t xml:space="preserve">1. Đảm bảo Collect (FREE) đang được chọn.
2. Quan sát phần phí vận chuyển và tổng tiền.</t>
  </si>
  <si>
    <t xml:space="preserve">1. Collect (FREE) được chọn; Standard Shipping không được chọn.
2. Không có khoản phí £1.99 được hiển thị/áp dụng trong tổng tiền khi Collect (FREE) được chọn.</t>
  </si>
  <si>
    <t xml:space="preserve">Tổng tiền phải bao gồm đúng phí £1.99 khi Standard Shipping được chọn</t>
  </si>
  <si>
    <t xml:space="preserve">1. Chọn Standard Shipping (£1.99).
2. Quan sát phí vận chuyển hiển thị.
3. So sánh tổng tiền với trạng thái Collect (FREE) (nếu có thể chuyển qua lại).</t>
  </si>
  <si>
    <t xml:space="preserve">1. Standard Shipping được chọn; Collect (FREE) bị bỏ chọn.
2. Phí vận chuyển hiển thị đúng là £1.99.
3. Tổng tiền khi Standard Shipping được chọn cao hơn đúng £1.99 so với khi Collect (FREE) được chọn.</t>
  </si>
  <si>
    <t xml:space="preserve">BUG-17</t>
  </si>
  <si>
    <t xml:space="preserve">Không hiển thị NaN khi chuyển đổi phương thức giao hàng nhiều lần</t>
  </si>
  <si>
    <t xml:space="preserve">1. Chuyển từ Collect (FREE) sang Standard Shipping (£1.99).
2. Chuyển từ Standard Shipping (£1.99) về Collect (FREE).
3. Lặp lại thao tác chuyển đổi qua lại thêm vài lần.</t>
  </si>
  <si>
    <t xml:space="preserve">1. Tổng tiền cập nhật hợp lệ và không hiển thị NaN.
2. Tổng tiền cập nhật hợp lệ và không hiển thị NaN.
3. Mỗi lần chuyển đổi, tổng tiền luôn là giá trị hợp lệ; không xuất hiện NaN hoặc tổng tiền sai.</t>
  </si>
  <si>
    <t xml:space="preserve">Tổng tiền hiển thị NaN (khi giỏ hàng chứa sản phẩm có giá chứa phần nhỏ lẻ như .75 .95)</t>
  </si>
  <si>
    <t xml:space="preserve">BUG-15</t>
  </si>
  <si>
    <t xml:space="preserve">Không cộng dồn phí vận chuyển £1.99 khi chọn Standard Shipping nhiều lần</t>
  </si>
  <si>
    <t xml:space="preserve">1. Chọn Standard Shipping (£1.99) và ghi nhận tổng tiền.
2. Nhấp chọn Standard Shipping (£1.99) thêm lần nữa (khi đang được chọn).
3. Nhấp chọn Standard Shipping (£1.99) thêm lần nữa.</t>
  </si>
  <si>
    <t xml:space="preserve">1. Tổng tiền hiển thị hợp lệ và đã bao gồm £1.99.
2. Standard Shipping vẫn được chọn; tổng tiền không tăng thêm (không cộng dồn thêm £1.99).
3. Tổng tiền vẫn không thay đổi; không có dấu hiệu cộng dồn phí.</t>
  </si>
  <si>
    <t xml:space="preserve">Không cộng dồn phí vận chuyển khi chuyển Standard Shipping -&gt; Collect -&gt; Standard Shipping</t>
  </si>
  <si>
    <t xml:space="preserve">1. Chọn Standard Shipping (£1.99) và ghi nhận tổng tiền.
2. Chuyển sang Collect (FREE) và ghi nhận tổng tiền.
3. Chuyển lại Standard Shipping (£1.99) và ghi nhận tổng tiền.</t>
  </si>
  <si>
    <t xml:space="preserve">1. Tổng tiền hợp lệ và bao gồm £1.99.
2. Tổng tiền hợp lệ và không bao gồm £1.99.
3. Tổng tiền hợp lệ và chỉ tăng đúng £1.99 so với Collect; không tăng nhiều hơn £1.99.</t>
  </si>
  <si>
    <t xml:space="preserve">Tổng tiền không hiển thị giá trị sai/không hợp lệ sau khi đổi phương thức giao hàng</t>
  </si>
  <si>
    <t xml:space="preserve">1. Chọn Collect (FREE) và ghi nhận tổng tiền.
2. Chọn Standard Shipping (£1.99) và ghi nhận tổng tiền.
3. Chọn lại Collect (FREE) và ghi nhận tổng tiền.</t>
  </si>
  <si>
    <t xml:space="preserve">1. Tổng tiền hợp lệ; không bao gồm phí £1.99; không hiển thị NaN.
2. Tổng tiền hợp lệ; bao gồm phí £1.99; không hiển thị NaN.
3. Tổng tiền hợp lệ; quay về trạng thái không bao gồm phí £1.99; không hiển thị NaN.</t>
  </si>
  <si>
    <t xml:space="preserve">Tổng tiền hiển thị NaN (khi giỏ hàng chứa sản phẩm có giá chứa phần nhỏ lẻ như .75 .95) khi chọn Standard Shipping Nếu giỏ hàng không chứa sản phẩm có giá chứa phần nhỏ lẻ như .75 .95 mà chọn Standard Shipping thì tổng sẽ bị sai</t>
  </si>
  <si>
    <t xml:space="preserve">BUG-16</t>
  </si>
  <si>
    <t xml:space="preserve">Kiểm thử áp dụng mã khuyến mãi hợp lệ</t>
  </si>
  <si>
    <t xml:space="preserve">Áp dụng mã khuyến mãi hợp lệ và cập nhật tổng tiền chính xác</t>
  </si>
  <si>
    <t xml:space="preserve">Người dùng đang ở màn hình có ô nhập mã khuyến mãi và hiển thị tổng tiền hiện tại; có ít nhất một mã khuyến mãi hợp lệ được hệ thống cấu hình với mức giảm giá tương ứng.</t>
  </si>
  <si>
    <t xml:space="preserve">1. Ghi nhận tổng tiền hiện tại trước khi áp dụng mã.
2. Nhập một mã khuyến mãi hợp lệ vào ô nhập mã.
3. Thực hiện thao tác áp dụng mã (ví dụ: nhấn nút Áp dụng).
4. Quan sát tổng tiền sau khi áp dụng mã.</t>
  </si>
  <si>
    <t xml:space="preserve">B2: Mã khuyến mãi hợp lệ (theo cấu hình hệ thống)</t>
  </si>
  <si>
    <t xml:space="preserve">1. Tổng tiền trước khi áp dụng mã được hiển thị rõ ràng và có thể đối chiếu.
2. Ô nhập nhận giá trị mã; không tự báo lỗi ngay lập tức (trừ khi có cơ chế kiểm tra tức thời).
3. Hệ thống xác thực mã hợp lệ và áp dụng giảm giá đúng theo mức giảm đã cấu hình cho mã đó.
4. Tổng tiền được cập nhật chính xác theo giảm giá của mã hợp lệ; không có sai lệch so với quy tắc giảm giá đã cấu hình.</t>
  </si>
  <si>
    <t xml:space="preserve">Không áp dụng giảm giá khi gửi lại cùng một mã khuyến mãi hợp lệ (chống trùng lặp)</t>
  </si>
  <si>
    <t xml:space="preserve">Người dùng đang ở màn hình có ô nhập mã khuyến mãi; có một mã khuyến mãi hợp lệ; mã này chưa được áp dụng trước đó trong phiên hiện tại.</t>
  </si>
  <si>
    <t xml:space="preserve">1. Nhập và áp dụng mã khuyến mãi hợp lệ lần 1.
2. Ghi nhận tổng tiền sau khi áp dụng lần 1.
3. Nhập lại đúng mã khuyến mãi đó và thực hiện áp dụng lần 2.</t>
  </si>
  <si>
    <t xml:space="preserve">B1: Mã khuyến mãi hợp lệ (theo cấu hình hệ thống)
B3: Cùng mã khuyến mãi hợp lệ đã áp dụng</t>
  </si>
  <si>
    <t xml:space="preserve">1. Mã được áp dụng thành công và tổng tiền được giảm đúng theo cấu hình.
2. Tổng tiền sau lần 1 được hiển thị và ổn định.
3. Hệ thống không áp dụng thêm giảm giá cho lần gửi trùng; tổng tiền không thay đổi so với sau lần 1; hiển thị thông báo/ trạng thái phù hợp cho trường hợp trùng lặp (nếu có).</t>
  </si>
  <si>
    <t xml:space="preserve">Kiểm thử áp dụng mã khuyến mãi không hợp lệ</t>
  </si>
  <si>
    <t xml:space="preserve">Xử lý mã khuyến mãi không tồn tại: không thay đổi tổng tiền</t>
  </si>
  <si>
    <t xml:space="preserve">Người dùng đang ở màn hình nhập mã khuyến mãi; tổng tiền hiện tại đang hiển thị; có thể nhập một mã không tồn tại trong hệ thống.</t>
  </si>
  <si>
    <t xml:space="preserve">1. Ghi nhận tổng tiền hiện tại trước khi nhập mã.
2. Nhập mã khuyến mãi không tồn tại và thực hiện áp dụng.
3. Quan sát tổng tiền sau khi áp dụng mã không tồn tại.</t>
  </si>
  <si>
    <t xml:space="preserve">B2: Mã không tồn tại</t>
  </si>
  <si>
    <t xml:space="preserve">1. Tổng tiền trước khi áp dụng mã được hiển thị rõ ràng.
2. Hệ thống từ chối mã không hợp lệ; hiển thị lỗi phù hợp; không áp dụng giảm giá.
3. Tổng tiền không thay đổi so với trước khi nhập mã.</t>
  </si>
  <si>
    <t xml:space="preserve">Xử lý mã khuyến mãi hết hạn: không thay đổi tổng tiền</t>
  </si>
  <si>
    <t xml:space="preserve">Người dùng đang ở màn hình nhập mã khuyến mãi; có một mã khuyến mãi ở trạng thái hết hạn theo cấu hình hệ thống; tổng tiền hiện tại đang hiển thị.</t>
  </si>
  <si>
    <t xml:space="preserve">1. Ghi nhận tổng tiền hiện tại trước khi nhập mã.
2. Nhập mã khuyến mãi hết hạn và thực hiện áp dụng.
3. Quan sát tổng tiền sau khi áp dụng mã hết hạn.</t>
  </si>
  <si>
    <t xml:space="preserve">B2: Mã hết hạn (theo cấu hình hệ thống)</t>
  </si>
  <si>
    <t xml:space="preserve">1. Tổng tiền trước khi áp dụng mã được hiển thị rõ ràng.
2. Hệ thống từ chối mã hết hạn; hiển thị lỗi phù hợp; không áp dụng giảm giá.
3. Tổng tiền không thay đổi so với trước khi nhập mã.</t>
  </si>
  <si>
    <t xml:space="preserve">Xử lý đầu vào rỗng: không áp dụng giảm giá và không đổi tổng tiền</t>
  </si>
  <si>
    <t xml:space="preserve">Người dùng đang ở màn hình nhập mã khuyến mãi; tổng tiền hiện tại đang hiển thị.</t>
  </si>
  <si>
    <t xml:space="preserve">1. Ghi nhận tổng tiền hiện tại.
2. Đảm bảo ô nhập mã khuyến mãi đang rỗng.
3. Thực hiện thao tác áp dụng mã khi ô nhập rỗng.
4. Quan sát tổng tiền sau thao tác.</t>
  </si>
  <si>
    <t xml:space="preserve">1. Tổng tiền hiện tại được hiển thị rõ ràng.
2. Ô nhập không có ký tự nào.
3. Hệ thống báo lỗi/nhắc nhở mã không hợp lệ do rỗng; không áp dụng giảm giá.
4. Tổng tiền không thay đổi.</t>
  </si>
  <si>
    <t xml:space="preserve">Xử lý khoảng trắng đầu/cuối với mã hợp lệ: vẫn áp dụng giảm giá đúng</t>
  </si>
  <si>
    <t xml:space="preserve">Người dùng đang ở màn hình nhập mã khuyến mãi; có một mã khuyến mãi hợp lệ theo cấu hình hệ thống; tổng tiền hiện tại đang hiển thị.</t>
  </si>
  <si>
    <t xml:space="preserve">1. Ghi nhận tổng tiền hiện tại trước khi áp dụng mã.
2. Nhập mã khuyến mãi hợp lệ kèm khoảng trắng ở đầu và/hoặc cuối.
3. Thực hiện thao tác áp dụng mã.
4. Quan sát tổng tiền sau khi áp dụng.</t>
  </si>
  <si>
    <t xml:space="preserve">B2: &lt;khoảng trắng&gt;&lt;mã hợp lệ&gt;&lt;khoảng trắng&gt;</t>
  </si>
  <si>
    <t xml:space="preserve">1. Tổng tiền trước khi áp dụng mã được hiển thị rõ ràng.
2. Ô nhập nhận chuỗi có khoảng trắng.
3. Hệ thống xử lý khoảng trắng đầu/cuối và xác thực mã như mã hợp lệ; áp dụng giảm giá đúng theo cấu hình.
4. Tổng tiền được cập nhật chính xác theo giảm giá của mã hợp lệ.</t>
  </si>
  <si>
    <t xml:space="preserve">Xử lý khoảng trắng đầu/cuối với mã không tồn tại: vẫn bị từ chối và không đổi tổng tiền</t>
  </si>
  <si>
    <t xml:space="preserve">Người dùng đang ở màn hình nhập mã khuyến mãi; tổng tiền hiện tại đang hiển thị; có thể nhập một mã không tồn tại.</t>
  </si>
  <si>
    <t xml:space="preserve">1. Ghi nhận tổng tiền hiện tại trước khi áp dụng mã.
2. Nhập mã không tồn tại kèm khoảng trắng ở đầu/cuối và thực hiện áp dụng.
3. Quan sát tổng tiền sau thao tác.</t>
  </si>
  <si>
    <t xml:space="preserve">B2: &lt;khoảng trắng&gt;&lt;mã không tồn tại&gt;&lt;khoảng trắng&gt;</t>
  </si>
  <si>
    <t xml:space="preserve">1. Tổng tiền trước khi áp dụng mã được hiển thị rõ ràng.
2. Hệ thống xử lý khoảng trắng đầu/cuối; vẫn xác định mã là không hợp lệ; hiển thị lỗi phù hợp; không áp dụng giảm giá.
3. Tổng tiền không thay đổi so với trước khi nhập mã.</t>
  </si>
  <si>
    <t xml:space="preserve">Chỉ nhập khoảng trắng (đầu vào rỗng sau khi trim): không áp dụng giảm giá</t>
  </si>
  <si>
    <t xml:space="preserve">1. Ghi nhận tổng tiền hiện tại.
2. Nhập chuỗi chỉ gồm khoảng trắng vào ô mã khuyến mãi và thực hiện áp dụng.
3. Quan sát tổng tiền sau thao tác.</t>
  </si>
  <si>
    <t xml:space="preserve">B2: &lt;khoảng trắng&gt;</t>
  </si>
  <si>
    <t xml:space="preserve">1. Tổng tiền hiện tại được hiển thị rõ ràng.
2. Hệ thống xử lý khoảng trắng và coi mã là rỗng/không hợp lệ; hiển thị lỗi phù hợp; không áp dụng giảm giá.
3. Tổng tiền không thay đổi.</t>
  </si>
  <si>
    <t xml:space="preserve">Áp dụng mã hợp lệ sau khi đã nhập mã không hợp lệ trước đó</t>
  </si>
  <si>
    <t xml:space="preserve">Người dùng đang ở màn hình nhập mã khuyến mãi; có một mã không hợp lệ (không tồn tại/hết hạn/rỗng) và một mã hợp lệ theo cấu hình hệ thống; tổng tiền hiện tại đang hiển thị.</t>
  </si>
  <si>
    <t xml:space="preserve">1. Nhập một mã không hợp lệ và thực hiện áp dụng.
2. Nhập một mã khuyến mãi hợp lệ và thực hiện áp dụng.
3. Quan sát tổng tiền sau khi áp dụng mã hợp lệ.</t>
  </si>
  <si>
    <t xml:space="preserve">B1: Mã không hợp lệ (không tồn tại hoặc hết hạn)
B2: Mã khuyến mãi hợp lệ (theo cấu hình hệ thống)</t>
  </si>
  <si>
    <t xml:space="preserve">1. Hệ thống từ chối mã; hiển thị lỗi; tổng tiền không thay đổi.
2. Hệ thống xác thực mã hợp lệ và áp dụng giảm giá đúng theo cấu hình.
3. Tổng tiền được cập nhật chính xác theo giảm giá của mã hợp lệ.</t>
  </si>
  <si>
    <t xml:space="preserve">Không thay đổi tổng tiền khi áp dụng mã không hợp lệ nhiều lần liên tiếp</t>
  </si>
  <si>
    <t xml:space="preserve">Người dùng đang ở màn hình nhập mã khuyến mãi; tổng tiền hiện tại đang hiển thị; có thể nhập các mã không hợp lệ (không tồn tại/hết hạn/rỗng).</t>
  </si>
  <si>
    <t xml:space="preserve">1. Ghi nhận tổng tiền hiện tại.
2. Nhập mã không tồn tại và áp dụng.
3. Nhập mã hết hạn và áp dụng.
4. Để trống ô nhập và áp dụng.
5. So sánh tổng tiền sau các lần thử với tổng tiền ban đầu.</t>
  </si>
  <si>
    <t xml:space="preserve">B2: Mã không tồn tại
B3: Mã hết hạn (theo cấu hình hệ thống)</t>
  </si>
  <si>
    <t xml:space="preserve">1. Tổng tiền hiện tại được hiển thị rõ ràng.
2. Hệ thống từ chối; tổng tiền không thay đổi.
3. Hệ thống từ chối; tổng tiền không thay đổi.
4. Hệ thống từ chối do rỗng; tổng tiền không thay đổi.
5. Tổng tiền sau cùng bằng đúng tổng tiền ban đầu.</t>
  </si>
  <si>
    <t xml:space="preserve">Xác minh tổng tiền chỉ thay đổi khi mã hợp lệ được áp dụng thành công</t>
  </si>
  <si>
    <t xml:space="preserve">Người dùng đang ở màn hình nhập mã khuyến mãi; có một mã hợp lệ theo cấu hình hệ thống và một mã không hợp lệ; tổng tiền hiện tại đang hiển thị.</t>
  </si>
  <si>
    <t xml:space="preserve">1. Ghi nhận tổng tiền ban đầu.
2. Nhập mã không hợp lệ và áp dụng.
3. Nhập mã hợp lệ và áp dụng.
4. Nhập lại cùng mã hợp lệ và áp dụng lần nữa.</t>
  </si>
  <si>
    <t xml:space="preserve">B2: Mã không hợp lệ (không tồn tại hoặc hết hạn)
B3: Mã khuyến mãi hợp lệ (theo cấu hình hệ thống)
B4: Cùng mã khuyến mãi hợp lệ đã áp dụng</t>
  </si>
  <si>
    <t xml:space="preserve">1. Tổng tiền ban đầu được hiển thị rõ ràng.
2. Hệ thống từ chối; tổng tiền không đổi so với ban đầu.
3. Hệ thống áp dụng giảm giá; tổng tiền thay đổi đúng theo cấu hình.
4. Hệ thống không áp dụng thêm giảm giá; tổng tiền không đổi so với sau lần áp dụng hợp lệ đầu tiên.</t>
  </si>
  <si>
    <t xml:space="preserve">Kiểm thử xác nhận đơn hàng với thông tin hợp lệ</t>
  </si>
  <si>
    <t xml:space="preserve">Xác nhận đơn hàng thành công với giỏ hàng hợp lệ, địa chỉ, thanh toán và phương thức vận chuyển hợp lệ</t>
  </si>
  <si>
    <t xml:space="preserve">Người dùng đã đăng nhập; giỏ hàng có ít nhất 1 sản phẩm; màn hình xác nhận đơn hàng hiển thị đầy đủ các trường bắt buộc.</t>
  </si>
  <si>
    <t xml:space="preserve">1. Mở màn hình xác nhận đơn hàng từ giỏ hàng.
2. Nhập đầy đủ các trường bắt buộc với dữ liệu hợp lệ (địa chỉ hợp lệ, thông tin thanh toán hợp lệ, chọn phương thức vận chuyển).
3. Nhấn nút "Confirm Order" một lần.
4. Kiểm tra chi tiết đơn hàng vừa tạo.</t>
  </si>
  <si>
    <t xml:space="preserve">B2: Điền đầy đủ trường bắt buộc; thông tin thanh toán hợp lệ; chọn phương thức vận chuyển hợp lệ</t>
  </si>
  <si>
    <t xml:space="preserve">1. Màn hình xác nhận đơn hàng hiển thị thông tin giỏ hàng và các trường bắt buộc (địa chỉ, thanh toán, phương thức vận chuyển).
2. Không có cảnh báo thiếu dữ liệu; hệ thống chấp nhận dữ liệu nhập.
3. Đơn hàng được tạo thành công; hệ thống hiển thị thông báo/Trang xác nhận thành công.
4. Đơn hàng chứa đúng thông tin khách hàng và chi tiết sản phẩm theo giỏ hàng; không có sai lệch dữ liệu hiển thị so với dữ liệu đã nhập.</t>
  </si>
  <si>
    <t xml:space="preserve">Hiển thị phản hồi người dùng khi xác nhận đơn thành công</t>
  </si>
  <si>
    <t xml:space="preserve">Người dùng đã đăng nhập; giỏ hàng có ít nhất 1 sản phẩm; dữ liệu bắt buộc hợp lệ.</t>
  </si>
  <si>
    <t xml:space="preserve">1. Nhấn "Confirm Order" với dữ liệu hợp lệ.
2. Quan sát trạng thái nút/luồng điều hướng sau khi thành công.</t>
  </si>
  <si>
    <t xml:space="preserve">B1: Địa chỉ hợp lệ; thanh toán hợp lệ; phương thức vận chuyển hợp lệ</t>
  </si>
  <si>
    <t xml:space="preserve">1. Hệ thống hiển thị thông báo hoặc trang xác nhận đơn hàng thành công cho người dùng.
2. Người dùng nhận được phản hồi rõ ràng rằng đơn đã được tạo; không còn trạng thái chờ xử lý vô hạn.</t>
  </si>
  <si>
    <t xml:space="preserve">Thay đổi phương thức vận chuyển trước khi xác nhận và đơn hàng phản ánh đúng lựa chọn cuối</t>
  </si>
  <si>
    <t xml:space="preserve">Người dùng đã đăng nhập; giỏ hàng có ít nhất 1 sản phẩm; có thể thay đổi lựa chọn phương thức vận chuyển trên màn hình xác nhận.</t>
  </si>
  <si>
    <t xml:space="preserve">1. Mở màn hình xác nhận đơn hàng và chọn một phương thức vận chuyển.
2. Đổi sang phương thức vận chuyển khác trước khi nhấn "Confirm Order".
3. Nhập các dữ liệu bắt buộc còn lại hợp lệ và nhấn "Confirm Order".
4. Kiểm tra chi tiết đơn hàng về phương thức vận chuyển.</t>
  </si>
  <si>
    <t xml:space="preserve">B1: Phương thức vận chuyển: lựa chọn A
B2: Phương thức vận chuyển: lựa chọn B
B3: Địa chỉ hợp lệ; thanh toán hợp lệ</t>
  </si>
  <si>
    <t xml:space="preserve">1. Phương thức vận chuyển được chọn và hiển thị là đang áp dụng.
2. Hệ thống cập nhật lựa chọn vận chuyển hiện tại sang B.
3. Đơn hàng được tạo thành công.
4. Đơn hàng ghi nhận phương thức vận chuyển theo lựa chọn cuối (B) tại thời điểm xác nhận.</t>
  </si>
  <si>
    <t xml:space="preserve">Thay đổi thông tin địa chỉ trước khi xác nhận và đơn hàng phản ánh đúng địa chỉ cuối</t>
  </si>
  <si>
    <t xml:space="preserve">Người dùng đã đăng nhập; giỏ hàng có ít nhất 1 sản phẩm; có thể chỉnh sửa địa chỉ trên màn hình xác nhận.</t>
  </si>
  <si>
    <t xml:space="preserve">1. Nhập địa chỉ hợp lệ lần 1 và các dữ liệu bắt buộc khác hợp lệ.
2. Chỉnh sửa địa chỉ sang giá trị hợp lệ khác trước khi nhấn "Confirm Order".
3. Nhấn "Confirm Order".
4. Kiểm tra địa chỉ trong chi tiết đơn hàng.</t>
  </si>
  <si>
    <t xml:space="preserve">B1: Địa chỉ hợp lệ (lần 1); thanh toán hợp lệ; phương thức vận chuyển hợp lệ
B2: Địa chỉ hợp lệ (lần 2)</t>
  </si>
  <si>
    <t xml:space="preserve">1. Form hợp lệ.
2. Hệ thống cập nhật địa chỉ mới và không báo lỗi.
3. Đơn hàng được tạo thành công.
4. Địa chỉ trong đơn hàng khớp địa chỉ hợp lệ (lần 2) đã chỉnh sửa.</t>
  </si>
  <si>
    <t xml:space="preserve">Thay đổi thông tin thanh toán trước khi xác nhận và đơn hàng chỉ tạo khi thanh toán hợp lệ</t>
  </si>
  <si>
    <t xml:space="preserve">Người dùng đã đăng nhập; giỏ hàng có ít nhất 1 sản phẩm; có thể chỉnh sửa thông tin thanh toán trên màn hình xác nhận.</t>
  </si>
  <si>
    <t xml:space="preserve">1. Nhập thông tin thanh toán không hợp lệ cùng với địa chỉ và vận chuyển hợp lệ.
2. Cập nhật thông tin thanh toán sang hợp lệ.
3. Nhấn "Confirm Order".</t>
  </si>
  <si>
    <t xml:space="preserve">B1: Thanh toán: không hợp lệ; địa chỉ hợp lệ; vận chuyển hợp lệ
B2: Thanh toán: hợp lệ</t>
  </si>
  <si>
    <t xml:space="preserve">1. Hệ thống hiển thị lỗi thanh toán không hợp lệ.
2. Lỗi thanh toán được xoá/cập nhật; form hợp lệ.
3. Đơn hàng được tạo thành công; không có đơn nào được tạo ở trạng thái thanh toán không hợp lệ.</t>
  </si>
  <si>
    <t xml:space="preserve">Không cho phép tạo đơn hàng khi giỏ hàng trống</t>
  </si>
  <si>
    <t xml:space="preserve">Người dùng đã đăng nhập; giỏ hàng trống; có thể truy cập màn hình xác nhận đơn hàng (nếu hệ thống cho phép).</t>
  </si>
  <si>
    <t xml:space="preserve">1. Đi tới màn hình xác nhận đơn hàng khi giỏ hàng trống.
2. Thử nhấn "Confirm Order" (nếu nút hiển thị).</t>
  </si>
  <si>
    <t xml:space="preserve">1. Hệ thống hiển thị thông báo phù hợp rằng không thể tạo đơn hàng với giỏ hàng trống hoặc chặn truy cập bước xác nhận.
2. Đơn hàng không được tạo; hệ thống hiển thị thông báo lỗi phù hợp; không phát sinh đơn hàng mới.</t>
  </si>
  <si>
    <t xml:space="preserve">Tạo đơn thành công khi giỏ hàng trống</t>
  </si>
  <si>
    <t xml:space="preserve">BUG-19</t>
  </si>
  <si>
    <t xml:space="preserve">Thiếu trường bắt buộc: bỏ trống địa chỉ và không thể xác nhận đơn</t>
  </si>
  <si>
    <t xml:space="preserve">Người dùng đã đăng nhập; giỏ hàng có ít nhất 1 sản phẩm; màn hình xác nhận đơn hàng hiển thị trường địa chỉ là bắt buộc.</t>
  </si>
  <si>
    <t xml:space="preserve">1. Mở màn hình xác nhận đơn hàng.
2. Để trống trường địa chỉ; điền hợp lệ thông tin thanh toán và chọn phương thức vận chuyển.
3. Nhấn "Confirm Order".</t>
  </si>
  <si>
    <t xml:space="preserve">B2: Địa chỉ: (trống); thanh toán hợp lệ; phương thức vận chuyển hợp lệ</t>
  </si>
  <si>
    <t xml:space="preserve">1. Màn hình hiển thị các trường bắt buộc.
2. Hệ thống hiển thị cảnh báo/đánh dấu lỗi tại trường địa chỉ hoặc thông báo thiếu trường bắt buộc.
3. Đơn hàng không được tạo; hệ thống hiển thị thông báo phù hợp về trường bắt buộc; không phát sinh đơn hàng mới.</t>
  </si>
  <si>
    <t xml:space="preserve">Thiếu trường bắt buộc: bỏ trống thông tin thanh toán và không thể xác nhận đơn</t>
  </si>
  <si>
    <t xml:space="preserve">Người dùng đã đăng nhập; giỏ hàng có ít nhất 1 sản phẩm; màn hình xác nhận đơn hàng có phần thông tin thanh toán là bắt buộc.</t>
  </si>
  <si>
    <t xml:space="preserve">1. Mở màn hình xác nhận đơn hàng.
2. Điền đầy đủ địa chỉ và chọn phương thức vận chuyển; để trống thông tin thanh toán.
3. Nhấn "Confirm Order".</t>
  </si>
  <si>
    <t xml:space="preserve">B2: Địa chỉ hợp lệ; phương thức vận chuyển hợp lệ; thanh toán: (trống)</t>
  </si>
  <si>
    <t xml:space="preserve">1. Màn hình hiển thị phần thông tin thanh toán.
2. Hệ thống hiển thị cảnh báo/đánh dấu lỗi tại phần thanh toán hoặc thông báo thiếu trường bắt buộc.
3. Đơn hàng không được tạo; hệ thống hiển thị thông báo phù hợp; không phát sinh đơn hàng mới.</t>
  </si>
  <si>
    <t xml:space="preserve">Thiếu trường bắt buộc: không chọn phương thức vận chuyển và không thể xác nhận đơn</t>
  </si>
  <si>
    <t xml:space="preserve">Người dùng đã đăng nhập; giỏ hàng có ít nhất 1 sản phẩm; phương thức vận chuyển là bắt buộc.</t>
  </si>
  <si>
    <t xml:space="preserve">1. Mở màn hình xác nhận đơn hàng.
2. Điền địa chỉ hợp lệ và thông tin thanh toán hợp lệ; không chọn phương thức vận chuyển.
3. Nhấn "Confirm Order".</t>
  </si>
  <si>
    <t xml:space="preserve">B2: Địa chỉ hợp lệ; thanh toán hợp lệ; vận chuyển: (không chọn)</t>
  </si>
  <si>
    <t xml:space="preserve">1. Danh sách/tuỳ chọn phương thức vận chuyển hiển thị.
2. Hệ thống hiển thị cảnh báo/đánh dấu lỗi tại phần vận chuyển hoặc thông báo thiếu trường bắt buộc.
3. Đơn hàng không được tạo; hệ thống hiển thị thông báo phù hợp; không phát sinh đơn hàng mới.</t>
  </si>
  <si>
    <t xml:space="preserve">Mặc định phương thức vận chuyển đã được chọn sẵn là Collect (FREE)</t>
  </si>
  <si>
    <t xml:space="preserve">BUG-20</t>
  </si>
  <si>
    <t xml:space="preserve">Thông tin thanh toán không hợp lệ: hệ thống hiển thị thông báo và không tạo đơn</t>
  </si>
  <si>
    <t xml:space="preserve">Người dùng đã đăng nhập; giỏ hàng có ít nhất 1 sản phẩm; màn hình xác nhận đơn hàng sẵn sàng nhập thông tin thanh toán.</t>
  </si>
  <si>
    <t xml:space="preserve">1. Mở màn hình xác nhận đơn hàng.
2. Điền đầy đủ các trường bắt buộc khác hợp lệ; nhập thông tin thanh toán không hợp lệ.
3. Nhấn "Confirm Order".</t>
  </si>
  <si>
    <t xml:space="preserve">B2: Địa chỉ hợp lệ; phương thức vận chuyển hợp lệ; thanh toán: không hợp lệ</t>
  </si>
  <si>
    <t xml:space="preserve">1. Màn hình hiển thị phần nhập thông tin thanh toán.
2. Hệ thống hiển thị thông báo phù hợp rằng thông tin thanh toán không hợp lệ hoặc đánh dấu lỗi tại phần thanh toán.
3. Đơn hàng không được tạo; hệ thống hiển thị thông báo lỗi; không phát sinh đơn hàng mới.</t>
  </si>
  <si>
    <t xml:space="preserve">Ngăn click nhiều lần: nhấn Confirm Order liên tiếp nhanh và chỉ tạo 1 đơn</t>
  </si>
  <si>
    <t xml:space="preserve">Người dùng đã đăng nhập; giỏ hàng có ít nhất 1 sản phẩm; tất cả dữ liệu bắt buộc có thể nhập hợp lệ.</t>
  </si>
  <si>
    <t xml:space="preserve">1. Mở màn hình xác nhận đơn hàng và nhập đầy đủ dữ liệu hợp lệ.
2. Nhấn "Confirm Order" nhiều lần liên tiếp (double-click/rapid click).
3. Kiểm tra kết quả tạo đơn hàng.</t>
  </si>
  <si>
    <t xml:space="preserve">1. Dữ liệu hợp lệ, sẵn sàng xác nhận.
2. Hệ thống không cho phép gửi nhiều yêu cầu; nút bị vô hiệu hoá hoặc có cơ chế chặn; chỉ xử lý một lần.
3. Chỉ có 1 đơn hàng được tạo; không có đơn trùng lặp.</t>
  </si>
  <si>
    <t xml:space="preserve">Thông báo lỗi khi thiếu nhiều trường bắt buộc cùng lúc</t>
  </si>
  <si>
    <t xml:space="preserve">Người dùng đã đăng nhập; giỏ hàng có ít nhất 1 sản phẩm; các trường địa chỉ/thanh toán/vận chuyển là bắt buộc.</t>
  </si>
  <si>
    <t xml:space="preserve">1. Mở màn hình xác nhận đơn hàng.
2. Bỏ trống nhiều trường bắt buộc (ví dụ địa chỉ và thanh toán), đồng thời không chọn phương thức vận chuyển.
3. Nhấn "Confirm Order".</t>
  </si>
  <si>
    <t xml:space="preserve">B2: Địa chỉ: (trống); thanh toán: (trống); vận chuyển: (không chọn)</t>
  </si>
  <si>
    <t xml:space="preserve">1. Màn hình hiển thị các trường bắt buộc.
2. Hệ thống hiển thị thông báo phù hợp cho các trường bắt buộc bị thiếu (có thể theo từng trường hoặc tổng hợp).
3. Đơn hàng không được tạo; người dùng nhận phản hồi rõ ràng về các lỗi cần sửa.</t>
  </si>
  <si>
    <t xml:space="preserve">Sửa lỗi sau khi bị báo thiếu trường bắt buộc và xác nhận đơn thành công</t>
  </si>
  <si>
    <t xml:space="preserve">Người dùng đã đăng nhập; giỏ hàng có ít nhất 1 sản phẩm; màn hình xác nhận đơn hàng.</t>
  </si>
  <si>
    <t xml:space="preserve">1. Để trống một trường bắt buộc và nhấn "Confirm Order" để tạo lỗi validate.
2. Điền bổ sung trường bắt buộc còn thiếu bằng dữ liệu hợp lệ.
3. Nhấn "Confirm Order".</t>
  </si>
  <si>
    <t xml:space="preserve">B1: Ví dụ: địa chỉ (trống)
B2: Địa chỉ hợp lệ</t>
  </si>
  <si>
    <t xml:space="preserve">1. Hệ thống hiển thị lỗi thiếu trường bắt buộc; không tạo đơn.
2. Lỗi validate được xoá/cập nhật; form trở về trạng thái hợp lệ.
3. Đơn hàng được tạo thành công; hiển thị thông báo/Trang xác nhận thành công.</t>
  </si>
  <si>
    <t xml:space="preserve">Đảm bảo chi tiết sản phẩm trong đơn hàng khớp với giỏ hàng</t>
  </si>
  <si>
    <t xml:space="preserve">Người dùng đã đăng nhập; giỏ hàng có nhiều sản phẩm; màn hình xác nhận đơn hàng.</t>
  </si>
  <si>
    <t xml:space="preserve">1. Mở màn hình xác nhận đơn hàng và ghi nhận danh sách sản phẩm hiển thị trong phần chi tiết đơn.
2. Nhập đầy đủ dữ liệu bắt buộc hợp lệ và nhấn "Confirm Order".
3. Mở chi tiết đơn hàng vừa tạo và đối chiếu danh sách sản phẩm.</t>
  </si>
  <si>
    <t xml:space="preserve">B2: Địa chỉ hợp lệ; thanh toán hợp lệ; phương thức vận chuyển hợp lệ</t>
  </si>
  <si>
    <t xml:space="preserve">1. Danh sách sản phẩm hiển thị đầy đủ theo giỏ hàng.
2. Đơn hàng được tạo thành công.
3. Danh sách sản phẩm trong đơn hàng khớp với giỏ hàng đã xác nhận; không thiếu/không thừa sản phẩm.</t>
  </si>
  <si>
    <t xml:space="preserve">Không tạo đơn khi thiếu trường bắt buộc dù người dùng cố submit nhiều lần</t>
  </si>
  <si>
    <t xml:space="preserve">1. Bỏ trống một trường bắt buộc (ví dụ địa chỉ) và điền các phần còn lại hợp lệ.
2. Nhấn "Confirm Order" nhiều lần liên tiếp.
3. Kiểm tra hệ thống không phát sinh đơn hàng nào.</t>
  </si>
  <si>
    <t xml:space="preserve">B1: Địa chỉ: (trống); thanh toán hợp lệ; phương thức vận chuyển hợp lệ</t>
  </si>
  <si>
    <t xml:space="preserve">1. Hệ thống hiển thị lỗi thiếu trường bắt buộc.
2. Hệ thống vẫn từ chối; không gửi/không xử lý tạo đơn; không có thay đổi trạng thái thành công.
3. Không có đơn hàng mới được tạo; không có đơn trùng.</t>
  </si>
  <si>
    <t xml:space="preserve">Không tạo đơn khi thanh toán không hợp lệ dù người dùng click Confirm Order nhiều lần</t>
  </si>
  <si>
    <t xml:space="preserve">1. Nhập địa chỉ và phương thức vận chuyển hợp lệ; nhập thanh toán không hợp lệ.
2. Nhấn "Confirm Order" nhiều lần liên tiếp.
3. Kiểm tra không có đơn hàng mới được tạo.</t>
  </si>
  <si>
    <t xml:space="preserve">B1: Thanh toán: không hợp lệ</t>
  </si>
  <si>
    <t xml:space="preserve">1. Hệ thống hiển thị lỗi thanh toán không hợp lệ.
2. Hệ thống không tạo đơn; vẫn hiển thị lỗi; không phát sinh nhiều yêu cầu tạo đơn.
3. Không có đơn hàng nào được tạo; không có đơn trùng.</t>
  </si>
  <si>
    <t xml:space="preserve">Kiểm thử giao diện và trải nghiệm người dùng đúng thiết kế</t>
  </si>
  <si>
    <t xml:space="preserve">Kiểm tra bố cục tổng thể của Billing Address, Payment, Your Basket, Delivery hiển thị đúng</t>
  </si>
  <si>
    <t xml:space="preserve">Người dùng mở trang có các khu vực Billing Address, Payment, Your Basket, Delivery.</t>
  </si>
  <si>
    <t xml:space="preserve">1. Quan sát trang và xác định sự hiện diện của các khu vực Billing Address, Payment, Your Basket, Delivery.
2. Kiểm tra trực quan vị trí và căn chỉnh của từng khu vực trên trang.</t>
  </si>
  <si>
    <t xml:space="preserve">1. Cả 4 khu vực đều hiển thị trên giao diện, không thiếu khu vực nào.
2. Bố cục các khu vực hiển thị đúng, không bị lệch bất thường; không có nội dung bị chồng lấn hoặc bị cắt.</t>
  </si>
  <si>
    <t xml:space="preserve">Kiểm tra không có nội dung bị chồng lấn giữa các khu vực</t>
  </si>
  <si>
    <t xml:space="preserve">Trang có các khu vực Billing Address, Payment, Your Basket, Delivery đã được tải hoàn tất.</t>
  </si>
  <si>
    <t xml:space="preserve">1. Cuộn trang từ đầu đến cuối và quan sát các khu vực và phần tử con.
2. Quan sát các vùng rìa/biên của từng khu vực khi cuộn qua các điểm chuyển tiếp giữa các khu vực.</t>
  </si>
  <si>
    <t xml:space="preserve">1. Không có nội dung/khối UI nào chồng lấn lên nhau ở bất kỳ vị trí nào.
2. Không có hiện tượng đè chữ, đè nút, đè trường nhập giữa các khu vực.</t>
  </si>
  <si>
    <t xml:space="preserve">Kiểm tra không có nội dung bị cắt (cut-off) trong từng khu vực</t>
  </si>
  <si>
    <t xml:space="preserve">Trang đã tải xong; trình duyệt ở mức zoom mặc định.</t>
  </si>
  <si>
    <t xml:space="preserve">1. Quan sát tất cả tiêu đề, nhãn, placeholder, trường nhập, nút và nội dung tóm tắt trong từng khu vực.
2. Cuộn trang và kiểm tra các phần tử ở gần mép trên/dưới của viewport.</t>
  </si>
  <si>
    <t xml:space="preserve">1. Không có chữ hoặc thành phần UI nào bị cắt mất một phần; nội dung hiển thị trọn vẹn.
2. Không có phần tử nào bị cắt khi xuất hiện/biến mất trong viewport.</t>
  </si>
  <si>
    <t xml:space="preserve">Kiểm tra nhãn (label) và placeholder hiển thị rõ ràng, dễ hiểu cho các trường nhập</t>
  </si>
  <si>
    <t xml:space="preserve">Trang hiển thị các trường nhập trong Billing Address và/hoặc Payment (nếu có).</t>
  </si>
  <si>
    <t xml:space="preserve">1. Quan sát từng trường nhập và ghi nhận label hiển thị kèm theo.
2. Nhấp vào từng trường nhập để xem placeholder (nếu có) và kiểm tra tính rõ ràng.</t>
  </si>
  <si>
    <t xml:space="preserve">1. Mỗi trường nhập có label rõ ràng, không mơ hồ, không bị trùng lặp khó hiểu.
2. Placeholder (nếu có) hiển thị rõ ràng, dễ hiểu; không bị cắt hoặc chồng lấn.</t>
  </si>
  <si>
    <t xml:space="preserve">Kiểm tra label/placeholder không bị che khuất khi trường có focus</t>
  </si>
  <si>
    <t xml:space="preserve">Trang có ít nhất một trường nhập trong Billing Address hoặc Payment.</t>
  </si>
  <si>
    <t xml:space="preserve">1. Dùng chuột nhấp vào một trường nhập để đặt focus.
2. Chuyển focus qua các trường nhập khác bằng chuột.</t>
  </si>
  <si>
    <t xml:space="preserve">1. Trạng thái focus hiển thị rõ ràng; label/placeholder không bị che khuất hoặc chồng lấn.
2. Mỗi lần focus, label/placeholder vẫn rõ ràng; không có nội dung bị cắt.</t>
  </si>
  <si>
    <t xml:space="preserve">Kiểm tra hiển thị tiền tệ là GBP (£) trong khu vực Your Basket</t>
  </si>
  <si>
    <t xml:space="preserve">Trang hiển thị khu vực Your Basket có giá/chi phí.</t>
  </si>
  <si>
    <t xml:space="preserve">1. Quan sát các giá trị tiền trong khu vực Your Basket (ví dụ: giá sản phẩm, tổng tiền, phí nếu có).
2. Kiểm tra tính nhất quán ký hiệu tiền tệ trên toàn bộ khu vực Your Basket.</t>
  </si>
  <si>
    <t xml:space="preserve">1. Tất cả giá trị tiền đều hiển thị với ký hiệu GBP (£).
2. Không có giá trị tiền nào hiển thị thiếu ký hiệu £ hoặc hiển thị ký hiệu tiền tệ khác.</t>
  </si>
  <si>
    <t xml:space="preserve">Kiểm tra hiển thị tiền tệ là GBP (£) trong khu vực Delivery</t>
  </si>
  <si>
    <t xml:space="preserve">Trang hiển thị khu vực Delivery có thông tin chi phí (nếu có).</t>
  </si>
  <si>
    <t xml:space="preserve">1. Quan sát các giá trị tiền/chi phí trong khu vực Delivery.
2. So sánh ký hiệu tiền tệ giữa Delivery và Your Basket.</t>
  </si>
  <si>
    <t xml:space="preserve">1. Nếu có hiển thị chi phí, ký hiệu tiền tệ là GBP (£).
2. Ký hiệu tiền tệ nhất quán là GBP (£) giữa các khu vực.</t>
  </si>
  <si>
    <t xml:space="preserve">Kiểm tra hiển thị tiền tệ là GBP (£) trong khu vực Payment (nếu có hiển thị số tiền)</t>
  </si>
  <si>
    <t xml:space="preserve">Trang hiển thị khu vực Payment có thông tin số tiền (nếu có).</t>
  </si>
  <si>
    <t xml:space="preserve">1. Quan sát các giá trị tiền trong khu vực Payment.
2. Kiểm tra không có ký hiệu tiền tệ khác xuất hiện trong Payment.</t>
  </si>
  <si>
    <t xml:space="preserve">1. Nếu có số tiền hiển thị, ký hiệu tiền tệ là GBP (£).
2. Không xuất hiện ký hiệu tiền tệ khác ngoài £.</t>
  </si>
  <si>
    <t xml:space="preserve">Kiểm tra giao diện thích ứng trên màn hình nhỏ (responsive) không bị chồng lấn/cắt</t>
  </si>
  <si>
    <t xml:space="preserve">Trang đang mở trên trình duyệt desktop có thể thay đổi kích thước cửa sổ.</t>
  </si>
  <si>
    <t xml:space="preserve">1. Thu nhỏ chiều rộng cửa sổ trình duyệt và quan sát bố cục các khu vực Billing Address, Payment, Your Basket, Delivery.
2. Cuộn trang và kiểm tra các trường nhập/nút trong từng khu vực ở kích thước cửa sổ nhỏ.</t>
  </si>
  <si>
    <t xml:space="preserve">1. Giao diện tự thích ứng; không có nội dung bị chồng lấn hoặc bị cắt.
2. Các phần tử vẫn hiển thị đầy đủ; không bị tràn hoặc che khuất.</t>
  </si>
  <si>
    <t xml:space="preserve">Kiểm tra giao diện thích ứng trên màn hình lớn (responsive) bố cục vẫn đúng</t>
  </si>
  <si>
    <t xml:space="preserve">1. Mở rộng chiều rộng cửa sổ trình duyệt và quan sát bố cục tổng thể.
2. Kiểm tra các dòng chữ/giá tiền trong Your Basket khi màn hình rộng.</t>
  </si>
  <si>
    <t xml:space="preserve">1. Bố cục vẫn đúng; các khu vực không bị giãn gây chồng lấn hoặc khoảng trống bất thường làm mất tính rõ ràng.
2. Nội dung vẫn căn chỉnh rõ ràng; không bị tách dòng bất thường gây khó đọc.</t>
  </si>
  <si>
    <t xml:space="preserve">Kiểm tra điều hướng bằng bàn phím: Tab đi qua các trường theo thứ tự logic</t>
  </si>
  <si>
    <t xml:space="preserve">Trang có các trường nhập và/hoặc nút trong Billing Address và Payment.</t>
  </si>
  <si>
    <t xml:space="preserve">1. Đặt con trỏ ở đầu trang (nhấp vào vùng trống) và nhấn phím Tab liên tục để di chuyển focus.
2. Quan sát khi focus chuyển giữa các khu vực (Billing Address -&gt; Payment -&gt; Your Basket -&gt; Delivery hoặc theo luồng trang).</t>
  </si>
  <si>
    <t xml:space="preserve">1. Focus di chuyển tuần tự qua các phần tử tương tác theo thứ tự logic, không nhảy ngẫu nhiên.
2. Thứ tự focus phù hợp với luồng thao tác người dùng; không bỏ sót phần tử tương tác.</t>
  </si>
  <si>
    <t xml:space="preserve">Kiểm tra điều hướng bằng bàn phím: Shift+Tab quay lại đúng thứ tự</t>
  </si>
  <si>
    <t xml:space="preserve">Đang ở trang có các phần tử tương tác; focus đang ở một phần tử bất kỳ trong form.</t>
  </si>
  <si>
    <t xml:space="preserve">1. Nhấn Shift+Tab nhiều lần để di chuyển focus ngược lại.
2. Quan sát trạng thái focus khi di chuyển ngược qua các khu vực.</t>
  </si>
  <si>
    <t xml:space="preserve">1. Focus quay lại đúng thứ tự ngược; không bị kẹt hoặc nhảy sai vị trí.
2. Trạng thái focus luôn hiển thị rõ ràng và nhất quán.</t>
  </si>
  <si>
    <t xml:space="preserve">Kiểm tra trạng thái focus dễ nhận biết khi điều hướng bằng bàn phím</t>
  </si>
  <si>
    <t xml:space="preserve">Trang có phần tử tương tác (trường nhập/nút/tuỳ chọn).</t>
  </si>
  <si>
    <t xml:space="preserve">1. Dùng Tab để đưa focus lần lượt qua nhiều phần tử tương tác.
2. Quan sát focus trên các loại phần tử khác nhau (trường nhập, nút, lựa chọn nếu có).</t>
  </si>
  <si>
    <t xml:space="preserve">1. Mỗi phần tử khi được focus đều có trạng thái focus dễ nhận biết (ví dụ: viền/đánh dấu rõ ràng).
2. Không có phần tử tương tác nào thiếu trạng thái focus hoặc focus quá mờ/khó nhận biết.</t>
  </si>
  <si>
    <t xml:space="preserve">Kiểm tra tính nhất quán hiển thị GBP (£) trên toàn trang (Your Basket/Delivery/Payment)</t>
  </si>
  <si>
    <t xml:space="preserve">Trang có hiển thị tiền ở ít nhất một trong các khu vực Your Basket, Delivery, Payment.</t>
  </si>
  <si>
    <t xml:space="preserve">1. Quét toàn bộ trang để tìm tất cả vị trí hiển thị giá/chi phí.
2. Kiểm tra không có ký hiệu tiền tệ khác xuất hiện ở bất kỳ khu vực nào.</t>
  </si>
  <si>
    <t xml:space="preserve">1. Tất cả vị trí hiển thị tiền đều dùng GBP (£).
2. Không có ký hiệu tiền tệ khác ngoài £ trên trang.</t>
  </si>
  <si>
    <t xml:space="preserve">Kiểm tra điều hướng bàn phím không bị kẹt trong một khu vực</t>
  </si>
  <si>
    <t xml:space="preserve">Trang có nhiều phần tử tương tác ở nhiều khu vực.</t>
  </si>
  <si>
    <t xml:space="preserve">1. Dùng Tab để di chuyển focus liên tục qua nhiều phần tử trong Billing Address và Payment.
2. Tiếp tục Tab cho đến khi focus đi qua các phần tử tương tác còn lại trên trang.</t>
  </si>
  <si>
    <t xml:space="preserve">1. Focus tiếp tục di chuyển tiến về phía trước, không bị kẹt trong một nhóm phần tử.
2. Có thể đi qua toàn bộ phần tử tương tác theo thứ tự; không xảy ra vòng lặp focus không mong muốn.</t>
  </si>
  <si>
    <t xml:space="preserve">Kiểm tra trạng thái focus dễ nhận biết trên các phần tử trong Your Basket và Delivery (nếu có tương tác)</t>
  </si>
  <si>
    <t xml:space="preserve">Your Basket và/hoặc Delivery có phần tử tương tác có thể focus bằng bàn phím (nếu có).</t>
  </si>
  <si>
    <t xml:space="preserve">1. Dùng Tab để đưa focus tới các phần tử tương tác trong Your Basket.
2. Dùng Tab để đưa focus tới các phần tử tương tác trong Delivery.</t>
  </si>
  <si>
    <t xml:space="preserve">1. Khi focus vào phần tử trong Your Basket, trạng thái focus dễ nhận biết.
2. Khi focus vào phần tử trong Delivery, trạng thái focus dễ nhận biết.</t>
  </si>
  <si>
    <t xml:space="preserve">Kiểm tra nhãn/placeholder không bị trùng lặp gây nhầm lẫn trong Billing Address và Payment</t>
  </si>
  <si>
    <t xml:space="preserve">Trang hiển thị nhiều trường nhập trong Billing Address và/hoặc Payment.</t>
  </si>
  <si>
    <t xml:space="preserve">1. So sánh các label giữa các trường trong Billing Address.
2. So sánh các placeholder giữa các trường trong Payment (nếu có).</t>
  </si>
  <si>
    <t xml:space="preserve">1. Label phân biệt rõ ràng; không có label mơ hồ gây nhầm lẫn giữa các trường.
2. Placeholder (nếu có) rõ ràng và không gây nhầm lẫn giữa các trường.</t>
  </si>
  <si>
    <t xml:space="preserve">Kiểm thử lỗi hiển thị và thông báo trên giao diện</t>
  </si>
  <si>
    <t xml:space="preserve">Kiểm tra focus không bị mất khi thay đổi kích thước màn hình</t>
  </si>
  <si>
    <t xml:space="preserve">Trang đang mở; có thể thay đổi kích thước cửa sổ; có trường nhập để focus.</t>
  </si>
  <si>
    <t xml:space="preserve">1. Đặt focus vào một trường nhập trong Billing Address hoặc Payment.
2. Thay đổi kích thước cửa sổ (thu nhỏ/mở rộng) trong khi vẫn ở trang.</t>
  </si>
  <si>
    <t xml:space="preserve">1. Trạng thái focus hiển thị rõ ràng trên trường đang chọn.
2. Focus vẫn nằm trên phần tử trước đó hoặc chuyển hợp lý mà không gây mất dấu; trạng thái focus vẫn dễ nhận biết và không bị che khuất.</t>
  </si>
  <si>
    <t xml:space="preserve">Kiểm tra hiển thị thông báo lỗi khi submit dữ liệu không hợp lệ</t>
  </si>
  <si>
    <t xml:space="preserve">Trang có hành động submit (ví dụ nút tiếp tục/đặt hàng/thanh toán) và có ít nhất một trường bắt buộc/được kiểm tra hợp lệ.</t>
  </si>
  <si>
    <t xml:space="preserve">1. Để trống hoặc nhập dữ liệu không hợp lệ vào ít nhất một trường trong Billing Address hoặc Payment (theo cách hệ thống coi là không hợp lệ).
2. Thực hiện hành động submit trên trang.</t>
  </si>
  <si>
    <t xml:space="preserve">B1: Dữ liệu không hợp lệ (theo quy tắc kiểm tra của hệ thống)</t>
  </si>
  <si>
    <t xml:space="preserve">1. Trường ở trạng thái chưa hợp lệ trước khi submit hoặc sẽ bị đánh dấu khi submit.
2. Thông báo lỗi được hiển thị khi dữ liệu không hợp lệ được submit.</t>
  </si>
  <si>
    <t xml:space="preserve">Kiểm tra thông báo lỗi rõ ràng và dễ hiểu</t>
  </si>
  <si>
    <t xml:space="preserve">Có thể kích hoạt lỗi bằng cách submit dữ liệu không hợp lệ.</t>
  </si>
  <si>
    <t xml:space="preserve">1. Kích hoạt trạng thái lỗi bằng cách submit dữ liệu không hợp lệ.
2. Đọc nội dung thông báo lỗi hiển thị.</t>
  </si>
  <si>
    <t xml:space="preserve">1. Thông báo lỗi xuất hiện.
2. Thông báo lỗi rõ ràng, dễ hiểu, không mơ hồ.</t>
  </si>
  <si>
    <t xml:space="preserve">Kiểm tra vị trí thông báo lỗi hiển thị đúng và không che khuất nội dung</t>
  </si>
  <si>
    <t xml:space="preserve">Có thể kích hoạt lỗi bằng submit dữ liệu không hợp lệ.</t>
  </si>
  <si>
    <t xml:space="preserve">1. Submit dữ liệu không hợp lệ để hiển thị lỗi.
2. Quan sát vị trí thông báo lỗi so với trường gây lỗi và các phần tử xung quanh.</t>
  </si>
  <si>
    <t xml:space="preserve">1. Thông báo lỗi hiển thị trên giao diện.
2. Thông báo lỗi nằm ở vị trí hợp lý, liên quan đến trường lỗi; không che khuất trường nhập/nút; không gây chồng lấn hoặc cắt nội dung.</t>
  </si>
  <si>
    <t xml:space="preserve">Kiểm tra nhiều lỗi đồng thời: hiển thị đầy đủ và không chồng lấn</t>
  </si>
  <si>
    <t xml:space="preserve">Có nhiều trường có thể bị coi là không hợp lệ trong Billing Address và/hoặc Payment.</t>
  </si>
  <si>
    <t xml:space="preserve">1. Làm cho nhiều trường trở nên không hợp lệ cùng lúc (ví dụ để trống nhiều trường) và submit.
2. Quan sát toàn bộ khu vực hiển thị lỗi và bố cục xung quanh.</t>
  </si>
  <si>
    <t xml:space="preserve">B1: Nhiều dữ liệu không hợp lệ (theo quy tắc kiểm tra của hệ thống)</t>
  </si>
  <si>
    <t xml:space="preserve">1. Nhiều thông báo lỗi xuất hiện tương ứng.
2. Tất cả lỗi đều hiển thị rõ ràng; không có lỗi nào bị che khuất; không có nội dung bị chồng lấn/cắt.</t>
  </si>
  <si>
    <t xml:space="preserve">Kiểm tra điều hướng bàn phím tới trường lỗi sau khi submit không hợp lệ</t>
  </si>
  <si>
    <t xml:space="preserve">Có thể tạo lỗi bằng submit dữ liệu không hợp lệ; có điều hướng bằng Tab.</t>
  </si>
  <si>
    <t xml:space="preserve">1. Submit dữ liệu không hợp lệ để hiển thị lỗi.
2. Nhấn Tab để di chuyển focus qua các phần tử sau khi lỗi xuất hiện.</t>
  </si>
  <si>
    <t xml:space="preserve">1. Thông báo lỗi hiển thị.
2. Focus di chuyển logic tới các trường cần sửa; trạng thái focus dễ nhận biết; không bị kẹt do thông báo lỗi.</t>
  </si>
  <si>
    <t xml:space="preserve">Kiểm tra giao diện khi có lỗi: không làm vỡ layout và vẫn không chồng lấn/cắt</t>
  </si>
  <si>
    <t xml:space="preserve">Có thể kích hoạt lỗi hiển thị trên form.</t>
  </si>
  <si>
    <t xml:space="preserve">1. Kích hoạt lỗi (một hoặc nhiều lỗi) bằng submit dữ liệu không hợp lệ.
2. Quan sát lại bố cục các khu vực Billing Address, Payment, Your Basket, Delivery sau khi lỗi xuất hiện.</t>
  </si>
  <si>
    <t xml:space="preserve">1. Thông báo lỗi hiển thị.
2. Bố cục vẫn đúng; không có nội dung bị chồng lấn hoặc bị cắt do thông báo lỗi.</t>
  </si>
  <si>
    <t xml:space="preserve">Kiểm tra responsive khi có lỗi: thông báo lỗi vẫn rõ ràng và đúng vị trí</t>
  </si>
  <si>
    <t xml:space="preserve">Có thể kích hoạt lỗi; có thể thay đổi kích thước cửa sổ trình duyệt.</t>
  </si>
  <si>
    <t xml:space="preserve">1. Thu nhỏ cửa sổ trình duyệt, sau đó submit dữ liệu không hợp lệ để hiển thị lỗi.
2. Quan sát vị trí và khả năng đọc của thông báo lỗi trên màn hình nhỏ và khi cuộn.
3. Mở rộng cửa sổ trình duyệt và quan sát lại thông báo lỗi.</t>
  </si>
  <si>
    <t xml:space="preserve">1. Thông báo lỗi hiển thị trên màn hình nhỏ.
2. Thông báo lỗi rõ ràng, không bị cắt; không chồng lấn; vị trí hiển thị hợp lý so với trường lỗi.
3. Thông báo lỗi vẫn hiển thị đúng, không bị lệch vị trí hoặc gây vỡ layout.</t>
  </si>
  <si>
    <t xml:space="preserve">Kiểm thử tính toàn vẹn dữ liệu giỏ hàng</t>
  </si>
  <si>
    <t xml:space="preserve">Trạng thái không hợp lệ: tổng tiền không khớp với tổng giá sản phẩm hiển thị</t>
  </si>
  <si>
    <t xml:space="preserve">Người dùng đang ở màn hình giỏ hàng và có nhiều sản phẩm; có khả năng xảy ra trạng thái tổng tiền hiển thị sai (trạng thái không hợp lệ).</t>
  </si>
  <si>
    <t xml:space="preserve">1. Mở màn hình giỏ hàng
2. Tính tổng tiền kỳ vọng bằng cách cộng giá của tất cả sản phẩm đang hiển thị
3. So sánh tổng tiền hiển thị với tổng tiền kỳ vọng</t>
  </si>
  <si>
    <t xml:space="preserve">1. Danh sách sản phẩm và tổng tiền được hiển thị.
2. Có tổng tiền kỳ vọng để đối chiếu.
3. Nếu không khớp, xác nhận hệ thống đang ở trạng thái không hợp lệ (tổng tiền hiển thị không chính xác so với giá sản phẩm).</t>
  </si>
  <si>
    <t xml:space="preserve">tổng tiền giá trị sản phẩm hiện đúng</t>
  </si>
  <si>
    <t xml:space="preserve">BUG-14</t>
  </si>
  <si>
    <t xml:space="preserve">Tổng hợp kết quả test case – Sweet Shop</t>
  </si>
  <si>
    <t xml:space="preserve">Tổng</t>
  </si>
  <si>
    <t xml:space="preserve">Tỷ lệ Pass</t>
  </si>
  <si>
    <t xml:space="preserve">Tổng cộng</t>
  </si>
</sst>
</file>

<file path=xl/styles.xml><?xml version="1.0" encoding="utf-8"?>
<styleSheet xmlns="http://schemas.openxmlformats.org/spreadsheetml/2006/main">
  <numFmts count="3">
    <numFmt numFmtId="164" formatCode="General"/>
    <numFmt numFmtId="165" formatCode="General"/>
    <numFmt numFmtId="166" formatCode="0.0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3"/>
      <color rgb="FF1F3864"/>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EEAF6"/>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5" fontId="7" fillId="3" borderId="1" xfId="0" applyFont="true" applyBorder="true" applyAlignment="true" applyProtection="false">
      <alignment horizontal="center" vertical="center" textRotation="0" wrapText="true" indent="0" shrinkToFit="false"/>
      <protection locked="true" hidden="false"/>
    </xf>
    <xf numFmtId="166" fontId="7"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DE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40"/>
    <col collapsed="false" customWidth="true" hidden="false" outlineLevel="0" max="4" min="4" style="0" width="32"/>
    <col collapsed="false" customWidth="true" hidden="false" outlineLevel="0" max="5" min="5" style="0" width="10"/>
    <col collapsed="false" customWidth="true" hidden="false" outlineLevel="0" max="6" min="6" style="0" width="55"/>
    <col collapsed="false" customWidth="true" hidden="false" outlineLevel="0" max="7" min="7" style="0" width="32"/>
    <col collapsed="false" customWidth="true" hidden="false" outlineLevel="0" max="8" min="8" style="0" width="55"/>
    <col collapsed="false" customWidth="true" hidden="false" outlineLevel="0" max="9" min="9" style="0" width="45"/>
    <col collapsed="false" customWidth="true" hidden="false" outlineLevel="0" max="10" min="10" style="0" width="11"/>
    <col collapsed="false" customWidth="true" hidden="false" outlineLevel="0" max="11" min="11" style="0" width="10"/>
  </cols>
  <sheetData>
    <row r="1" customFormat="false" ht="27.75"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35.05" hidden="false" customHeight="false" outlineLevel="0" collapsed="false">
      <c r="A2" s="2" t="n">
        <v>56</v>
      </c>
      <c r="B2" s="3" t="s">
        <v>11</v>
      </c>
      <c r="C2" s="3" t="s">
        <v>12</v>
      </c>
      <c r="D2" s="3" t="s">
        <v>13</v>
      </c>
      <c r="E2" s="3" t="s">
        <v>14</v>
      </c>
      <c r="F2" s="3" t="s">
        <v>15</v>
      </c>
      <c r="G2" s="3" t="s">
        <v>16</v>
      </c>
      <c r="H2" s="3" t="s">
        <v>17</v>
      </c>
      <c r="I2" s="3" t="s">
        <v>18</v>
      </c>
      <c r="J2" s="2" t="s">
        <v>19</v>
      </c>
      <c r="K2" s="2"/>
    </row>
    <row r="3" customFormat="false" ht="102.2" hidden="false" customHeight="false" outlineLevel="0" collapsed="false">
      <c r="A3" s="2" t="n">
        <v>57</v>
      </c>
      <c r="B3" s="3" t="s">
        <v>11</v>
      </c>
      <c r="C3" s="3" t="s">
        <v>20</v>
      </c>
      <c r="D3" s="3" t="s">
        <v>21</v>
      </c>
      <c r="E3" s="3" t="s">
        <v>14</v>
      </c>
      <c r="F3" s="3" t="s">
        <v>22</v>
      </c>
      <c r="G3" s="3" t="s">
        <v>23</v>
      </c>
      <c r="H3" s="3" t="s">
        <v>24</v>
      </c>
      <c r="I3" s="3" t="s">
        <v>18</v>
      </c>
      <c r="J3" s="2" t="s">
        <v>19</v>
      </c>
      <c r="K3" s="2"/>
    </row>
    <row r="4" customFormat="false" ht="46.25" hidden="false" customHeight="false" outlineLevel="0" collapsed="false">
      <c r="A4" s="2" t="n">
        <v>58</v>
      </c>
      <c r="B4" s="3" t="s">
        <v>25</v>
      </c>
      <c r="C4" s="3" t="s">
        <v>26</v>
      </c>
      <c r="D4" s="3" t="s">
        <v>27</v>
      </c>
      <c r="E4" s="3" t="s">
        <v>14</v>
      </c>
      <c r="F4" s="3" t="s">
        <v>28</v>
      </c>
      <c r="G4" s="3" t="s">
        <v>16</v>
      </c>
      <c r="H4" s="3" t="s">
        <v>29</v>
      </c>
      <c r="I4" s="3" t="s">
        <v>18</v>
      </c>
      <c r="J4" s="2" t="s">
        <v>19</v>
      </c>
      <c r="K4" s="2"/>
    </row>
    <row r="5" customFormat="false" ht="68.65" hidden="false" customHeight="false" outlineLevel="0" collapsed="false">
      <c r="A5" s="2" t="n">
        <v>59</v>
      </c>
      <c r="B5" s="3" t="s">
        <v>25</v>
      </c>
      <c r="C5" s="3" t="s">
        <v>30</v>
      </c>
      <c r="D5" s="3" t="s">
        <v>31</v>
      </c>
      <c r="E5" s="3" t="s">
        <v>14</v>
      </c>
      <c r="F5" s="3" t="s">
        <v>32</v>
      </c>
      <c r="G5" s="3" t="s">
        <v>33</v>
      </c>
      <c r="H5" s="3" t="s">
        <v>34</v>
      </c>
      <c r="I5" s="3" t="s">
        <v>18</v>
      </c>
      <c r="J5" s="2" t="s">
        <v>19</v>
      </c>
      <c r="K5" s="2"/>
    </row>
    <row r="6" customFormat="false" ht="68.65" hidden="false" customHeight="false" outlineLevel="0" collapsed="false">
      <c r="A6" s="2" t="n">
        <v>60</v>
      </c>
      <c r="B6" s="3" t="s">
        <v>25</v>
      </c>
      <c r="C6" s="3" t="s">
        <v>35</v>
      </c>
      <c r="D6" s="3" t="s">
        <v>31</v>
      </c>
      <c r="E6" s="3" t="s">
        <v>14</v>
      </c>
      <c r="F6" s="3" t="s">
        <v>36</v>
      </c>
      <c r="G6" s="3" t="s">
        <v>37</v>
      </c>
      <c r="H6" s="3" t="s">
        <v>38</v>
      </c>
      <c r="I6" s="3" t="s">
        <v>18</v>
      </c>
      <c r="J6" s="2" t="s">
        <v>19</v>
      </c>
      <c r="K6" s="2"/>
    </row>
    <row r="7" customFormat="false" ht="57.45" hidden="false" customHeight="false" outlineLevel="0" collapsed="false">
      <c r="A7" s="2" t="n">
        <v>61</v>
      </c>
      <c r="B7" s="3" t="s">
        <v>25</v>
      </c>
      <c r="C7" s="3" t="s">
        <v>39</v>
      </c>
      <c r="D7" s="3" t="s">
        <v>31</v>
      </c>
      <c r="E7" s="3" t="s">
        <v>14</v>
      </c>
      <c r="F7" s="3" t="s">
        <v>40</v>
      </c>
      <c r="G7" s="3" t="s">
        <v>41</v>
      </c>
      <c r="H7" s="3" t="s">
        <v>42</v>
      </c>
      <c r="I7" s="3" t="s">
        <v>18</v>
      </c>
      <c r="J7" s="2" t="s">
        <v>19</v>
      </c>
      <c r="K7" s="2"/>
    </row>
    <row r="8" customFormat="false" ht="35.05" hidden="false" customHeight="false" outlineLevel="0" collapsed="false">
      <c r="A8" s="2" t="n">
        <v>62</v>
      </c>
      <c r="B8" s="3" t="s">
        <v>25</v>
      </c>
      <c r="C8" s="3" t="s">
        <v>43</v>
      </c>
      <c r="D8" s="3" t="s">
        <v>31</v>
      </c>
      <c r="E8" s="3" t="s">
        <v>14</v>
      </c>
      <c r="F8" s="3" t="s">
        <v>44</v>
      </c>
      <c r="G8" s="3" t="s">
        <v>45</v>
      </c>
      <c r="H8" s="3" t="s">
        <v>46</v>
      </c>
      <c r="I8" s="3" t="s">
        <v>47</v>
      </c>
      <c r="J8" s="2" t="s">
        <v>48</v>
      </c>
      <c r="K8" s="2" t="s">
        <v>49</v>
      </c>
    </row>
    <row r="9" customFormat="false" ht="35.05" hidden="false" customHeight="false" outlineLevel="0" collapsed="false">
      <c r="A9" s="2" t="n">
        <v>63</v>
      </c>
      <c r="B9" s="3" t="s">
        <v>25</v>
      </c>
      <c r="C9" s="3" t="s">
        <v>50</v>
      </c>
      <c r="D9" s="3" t="s">
        <v>31</v>
      </c>
      <c r="E9" s="3" t="s">
        <v>51</v>
      </c>
      <c r="F9" s="3" t="s">
        <v>52</v>
      </c>
      <c r="G9" s="3" t="s">
        <v>53</v>
      </c>
      <c r="H9" s="3" t="s">
        <v>46</v>
      </c>
      <c r="I9" s="3" t="s">
        <v>54</v>
      </c>
      <c r="J9" s="2" t="s">
        <v>48</v>
      </c>
      <c r="K9" s="2" t="s">
        <v>55</v>
      </c>
    </row>
    <row r="10" customFormat="false" ht="35.05" hidden="false" customHeight="false" outlineLevel="0" collapsed="false">
      <c r="A10" s="2" t="n">
        <v>64</v>
      </c>
      <c r="B10" s="3" t="s">
        <v>25</v>
      </c>
      <c r="C10" s="3" t="s">
        <v>56</v>
      </c>
      <c r="D10" s="3" t="s">
        <v>31</v>
      </c>
      <c r="E10" s="3" t="s">
        <v>14</v>
      </c>
      <c r="F10" s="3" t="s">
        <v>57</v>
      </c>
      <c r="G10" s="3" t="s">
        <v>58</v>
      </c>
      <c r="H10" s="3" t="s">
        <v>59</v>
      </c>
      <c r="I10" s="3" t="s">
        <v>18</v>
      </c>
      <c r="J10" s="2" t="s">
        <v>19</v>
      </c>
      <c r="K10" s="2"/>
    </row>
    <row r="11" customFormat="false" ht="57.45" hidden="false" customHeight="false" outlineLevel="0" collapsed="false">
      <c r="A11" s="2" t="n">
        <v>65</v>
      </c>
      <c r="B11" s="3" t="s">
        <v>25</v>
      </c>
      <c r="C11" s="3" t="s">
        <v>60</v>
      </c>
      <c r="D11" s="3" t="s">
        <v>31</v>
      </c>
      <c r="E11" s="3" t="s">
        <v>14</v>
      </c>
      <c r="F11" s="3" t="s">
        <v>61</v>
      </c>
      <c r="G11" s="3" t="s">
        <v>62</v>
      </c>
      <c r="H11" s="3" t="s">
        <v>63</v>
      </c>
      <c r="I11" s="3" t="s">
        <v>18</v>
      </c>
      <c r="J11" s="2" t="s">
        <v>19</v>
      </c>
      <c r="K11" s="2"/>
    </row>
    <row r="12" customFormat="false" ht="57.45" hidden="false" customHeight="false" outlineLevel="0" collapsed="false">
      <c r="A12" s="2" t="n">
        <v>66</v>
      </c>
      <c r="B12" s="3" t="s">
        <v>25</v>
      </c>
      <c r="C12" s="3" t="s">
        <v>64</v>
      </c>
      <c r="D12" s="3" t="s">
        <v>31</v>
      </c>
      <c r="E12" s="3" t="s">
        <v>14</v>
      </c>
      <c r="F12" s="3" t="s">
        <v>65</v>
      </c>
      <c r="G12" s="3" t="s">
        <v>66</v>
      </c>
      <c r="H12" s="3" t="s">
        <v>67</v>
      </c>
      <c r="I12" s="3" t="s">
        <v>18</v>
      </c>
      <c r="J12" s="2" t="s">
        <v>19</v>
      </c>
      <c r="K12" s="2"/>
    </row>
    <row r="13" customFormat="false" ht="91" hidden="false" customHeight="false" outlineLevel="0" collapsed="false">
      <c r="A13" s="2" t="n">
        <v>67</v>
      </c>
      <c r="B13" s="3" t="s">
        <v>25</v>
      </c>
      <c r="C13" s="3" t="s">
        <v>68</v>
      </c>
      <c r="D13" s="3" t="s">
        <v>31</v>
      </c>
      <c r="E13" s="3" t="s">
        <v>14</v>
      </c>
      <c r="F13" s="3" t="s">
        <v>69</v>
      </c>
      <c r="G13" s="3" t="s">
        <v>70</v>
      </c>
      <c r="H13" s="3" t="s">
        <v>71</v>
      </c>
      <c r="I13" s="3" t="s">
        <v>72</v>
      </c>
      <c r="J13" s="2" t="s">
        <v>48</v>
      </c>
      <c r="K13" s="2" t="s">
        <v>73</v>
      </c>
    </row>
    <row r="14" customFormat="false" ht="35.05" hidden="false" customHeight="false" outlineLevel="0" collapsed="false">
      <c r="A14" s="2" t="n">
        <v>68</v>
      </c>
      <c r="B14" s="3" t="s">
        <v>25</v>
      </c>
      <c r="C14" s="3" t="s">
        <v>74</v>
      </c>
      <c r="D14" s="3" t="s">
        <v>31</v>
      </c>
      <c r="E14" s="3" t="s">
        <v>51</v>
      </c>
      <c r="F14" s="3" t="s">
        <v>75</v>
      </c>
      <c r="G14" s="3" t="s">
        <v>76</v>
      </c>
      <c r="H14" s="3" t="s">
        <v>77</v>
      </c>
      <c r="I14" s="3" t="s">
        <v>78</v>
      </c>
      <c r="J14" s="2" t="s">
        <v>48</v>
      </c>
      <c r="K14" s="2" t="s">
        <v>79</v>
      </c>
    </row>
    <row r="15" customFormat="false" ht="46.25" hidden="false" customHeight="false" outlineLevel="0" collapsed="false">
      <c r="A15" s="2" t="n">
        <v>69</v>
      </c>
      <c r="B15" s="3" t="s">
        <v>25</v>
      </c>
      <c r="C15" s="3" t="s">
        <v>80</v>
      </c>
      <c r="D15" s="3" t="s">
        <v>31</v>
      </c>
      <c r="E15" s="3" t="s">
        <v>51</v>
      </c>
      <c r="F15" s="3" t="s">
        <v>81</v>
      </c>
      <c r="G15" s="3" t="s">
        <v>82</v>
      </c>
      <c r="H15" s="3" t="s">
        <v>83</v>
      </c>
      <c r="I15" s="3" t="s">
        <v>84</v>
      </c>
      <c r="J15" s="2" t="s">
        <v>48</v>
      </c>
      <c r="K15" s="2" t="s">
        <v>85</v>
      </c>
    </row>
    <row r="16" customFormat="false" ht="46.25" hidden="false" customHeight="false" outlineLevel="0" collapsed="false">
      <c r="A16" s="2" t="n">
        <v>70</v>
      </c>
      <c r="B16" s="3" t="s">
        <v>86</v>
      </c>
      <c r="C16" s="3" t="s">
        <v>87</v>
      </c>
      <c r="D16" s="3" t="s">
        <v>88</v>
      </c>
      <c r="E16" s="3" t="s">
        <v>14</v>
      </c>
      <c r="F16" s="3" t="s">
        <v>89</v>
      </c>
      <c r="G16" s="3" t="s">
        <v>16</v>
      </c>
      <c r="H16" s="3" t="s">
        <v>90</v>
      </c>
      <c r="I16" s="3" t="s">
        <v>18</v>
      </c>
      <c r="J16" s="2" t="s">
        <v>19</v>
      </c>
      <c r="K16" s="2"/>
    </row>
    <row r="17" customFormat="false" ht="68.65" hidden="false" customHeight="false" outlineLevel="0" collapsed="false">
      <c r="A17" s="2" t="n">
        <v>71</v>
      </c>
      <c r="B17" s="3" t="s">
        <v>86</v>
      </c>
      <c r="C17" s="3" t="s">
        <v>91</v>
      </c>
      <c r="D17" s="3" t="s">
        <v>92</v>
      </c>
      <c r="E17" s="3" t="s">
        <v>14</v>
      </c>
      <c r="F17" s="3" t="s">
        <v>93</v>
      </c>
      <c r="G17" s="3" t="s">
        <v>94</v>
      </c>
      <c r="H17" s="3" t="s">
        <v>95</v>
      </c>
      <c r="I17" s="3" t="s">
        <v>18</v>
      </c>
      <c r="J17" s="2" t="s">
        <v>19</v>
      </c>
      <c r="K17" s="2"/>
    </row>
    <row r="18" customFormat="false" ht="35.05" hidden="false" customHeight="false" outlineLevel="0" collapsed="false">
      <c r="A18" s="2" t="n">
        <v>72</v>
      </c>
      <c r="B18" s="3" t="s">
        <v>96</v>
      </c>
      <c r="C18" s="3" t="s">
        <v>97</v>
      </c>
      <c r="D18" s="3" t="s">
        <v>98</v>
      </c>
      <c r="E18" s="3" t="s">
        <v>14</v>
      </c>
      <c r="F18" s="3" t="s">
        <v>99</v>
      </c>
      <c r="G18" s="3" t="s">
        <v>16</v>
      </c>
      <c r="H18" s="3" t="s">
        <v>100</v>
      </c>
      <c r="I18" s="3" t="s">
        <v>18</v>
      </c>
      <c r="J18" s="2" t="s">
        <v>19</v>
      </c>
      <c r="K18" s="2"/>
    </row>
    <row r="19" customFormat="false" ht="68.65" hidden="false" customHeight="false" outlineLevel="0" collapsed="false">
      <c r="A19" s="2" t="n">
        <v>73</v>
      </c>
      <c r="B19" s="3" t="s">
        <v>96</v>
      </c>
      <c r="C19" s="3" t="s">
        <v>101</v>
      </c>
      <c r="D19" s="3" t="s">
        <v>102</v>
      </c>
      <c r="E19" s="3" t="s">
        <v>14</v>
      </c>
      <c r="F19" s="3" t="s">
        <v>103</v>
      </c>
      <c r="G19" s="3" t="s">
        <v>104</v>
      </c>
      <c r="H19" s="3" t="s">
        <v>105</v>
      </c>
      <c r="I19" s="3" t="s">
        <v>18</v>
      </c>
      <c r="J19" s="2" t="s">
        <v>19</v>
      </c>
      <c r="K19" s="2"/>
    </row>
    <row r="20" customFormat="false" ht="68.65" hidden="false" customHeight="false" outlineLevel="0" collapsed="false">
      <c r="A20" s="2" t="n">
        <v>74</v>
      </c>
      <c r="B20" s="3" t="s">
        <v>96</v>
      </c>
      <c r="C20" s="3" t="s">
        <v>106</v>
      </c>
      <c r="D20" s="3" t="s">
        <v>102</v>
      </c>
      <c r="E20" s="3" t="s">
        <v>14</v>
      </c>
      <c r="F20" s="3" t="s">
        <v>107</v>
      </c>
      <c r="G20" s="3" t="s">
        <v>108</v>
      </c>
      <c r="H20" s="3" t="s">
        <v>109</v>
      </c>
      <c r="I20" s="3" t="s">
        <v>18</v>
      </c>
      <c r="J20" s="2" t="s">
        <v>19</v>
      </c>
      <c r="K20" s="2"/>
    </row>
    <row r="21" customFormat="false" ht="68.65" hidden="false" customHeight="false" outlineLevel="0" collapsed="false">
      <c r="A21" s="2" t="n">
        <v>75</v>
      </c>
      <c r="B21" s="3" t="s">
        <v>96</v>
      </c>
      <c r="C21" s="3" t="s">
        <v>110</v>
      </c>
      <c r="D21" s="3" t="s">
        <v>102</v>
      </c>
      <c r="E21" s="3" t="s">
        <v>14</v>
      </c>
      <c r="F21" s="3" t="s">
        <v>111</v>
      </c>
      <c r="G21" s="3" t="s">
        <v>112</v>
      </c>
      <c r="H21" s="3" t="s">
        <v>113</v>
      </c>
      <c r="I21" s="3" t="s">
        <v>18</v>
      </c>
      <c r="J21" s="2" t="s">
        <v>19</v>
      </c>
      <c r="K21" s="2"/>
    </row>
    <row r="22" customFormat="false" ht="68.65" hidden="false" customHeight="false" outlineLevel="0" collapsed="false">
      <c r="A22" s="2" t="n">
        <v>76</v>
      </c>
      <c r="B22" s="3" t="s">
        <v>96</v>
      </c>
      <c r="C22" s="3" t="s">
        <v>114</v>
      </c>
      <c r="D22" s="3" t="s">
        <v>102</v>
      </c>
      <c r="E22" s="3" t="s">
        <v>14</v>
      </c>
      <c r="F22" s="3" t="s">
        <v>115</v>
      </c>
      <c r="G22" s="3" t="s">
        <v>116</v>
      </c>
      <c r="H22" s="3" t="s">
        <v>117</v>
      </c>
      <c r="I22" s="3" t="s">
        <v>18</v>
      </c>
      <c r="J22" s="2" t="s">
        <v>19</v>
      </c>
      <c r="K22" s="2"/>
    </row>
    <row r="23" customFormat="false" ht="79.85" hidden="false" customHeight="false" outlineLevel="0" collapsed="false">
      <c r="A23" s="2" t="n">
        <v>77</v>
      </c>
      <c r="B23" s="3" t="s">
        <v>96</v>
      </c>
      <c r="C23" s="3" t="s">
        <v>118</v>
      </c>
      <c r="D23" s="3" t="s">
        <v>102</v>
      </c>
      <c r="E23" s="3" t="s">
        <v>14</v>
      </c>
      <c r="F23" s="3" t="s">
        <v>119</v>
      </c>
      <c r="G23" s="3" t="s">
        <v>120</v>
      </c>
      <c r="H23" s="3" t="s">
        <v>121</v>
      </c>
      <c r="I23" s="3" t="s">
        <v>122</v>
      </c>
      <c r="J23" s="2" t="s">
        <v>48</v>
      </c>
      <c r="K23" s="2" t="s">
        <v>123</v>
      </c>
    </row>
    <row r="24" customFormat="false" ht="79.85" hidden="false" customHeight="false" outlineLevel="0" collapsed="false">
      <c r="A24" s="2" t="n">
        <v>78</v>
      </c>
      <c r="B24" s="3" t="s">
        <v>96</v>
      </c>
      <c r="C24" s="3" t="s">
        <v>124</v>
      </c>
      <c r="D24" s="3" t="s">
        <v>102</v>
      </c>
      <c r="E24" s="3" t="s">
        <v>14</v>
      </c>
      <c r="F24" s="3" t="s">
        <v>125</v>
      </c>
      <c r="G24" s="3" t="s">
        <v>126</v>
      </c>
      <c r="H24" s="3" t="s">
        <v>127</v>
      </c>
      <c r="I24" s="3" t="s">
        <v>128</v>
      </c>
      <c r="J24" s="2" t="s">
        <v>48</v>
      </c>
      <c r="K24" s="2" t="s">
        <v>129</v>
      </c>
    </row>
    <row r="25" customFormat="false" ht="79.85" hidden="false" customHeight="false" outlineLevel="0" collapsed="false">
      <c r="A25" s="2" t="n">
        <v>79</v>
      </c>
      <c r="B25" s="3" t="s">
        <v>96</v>
      </c>
      <c r="C25" s="3" t="s">
        <v>130</v>
      </c>
      <c r="D25" s="3" t="s">
        <v>102</v>
      </c>
      <c r="E25" s="3" t="s">
        <v>14</v>
      </c>
      <c r="F25" s="3" t="s">
        <v>131</v>
      </c>
      <c r="G25" s="3" t="s">
        <v>132</v>
      </c>
      <c r="H25" s="3" t="s">
        <v>133</v>
      </c>
      <c r="I25" s="3" t="s">
        <v>134</v>
      </c>
      <c r="J25" s="2" t="s">
        <v>48</v>
      </c>
      <c r="K25" s="2" t="s">
        <v>135</v>
      </c>
    </row>
    <row r="26" customFormat="false" ht="79.85" hidden="false" customHeight="false" outlineLevel="0" collapsed="false">
      <c r="A26" s="2" t="n">
        <v>80</v>
      </c>
      <c r="B26" s="3" t="s">
        <v>96</v>
      </c>
      <c r="C26" s="3" t="s">
        <v>136</v>
      </c>
      <c r="D26" s="3" t="s">
        <v>102</v>
      </c>
      <c r="E26" s="3" t="s">
        <v>14</v>
      </c>
      <c r="F26" s="3" t="s">
        <v>137</v>
      </c>
      <c r="G26" s="3" t="s">
        <v>138</v>
      </c>
      <c r="H26" s="3" t="s">
        <v>139</v>
      </c>
      <c r="I26" s="3" t="s">
        <v>134</v>
      </c>
      <c r="J26" s="2" t="s">
        <v>48</v>
      </c>
      <c r="K26" s="2" t="s">
        <v>140</v>
      </c>
    </row>
    <row r="27" customFormat="false" ht="57.45" hidden="false" customHeight="false" outlineLevel="0" collapsed="false">
      <c r="A27" s="2" t="n">
        <v>81</v>
      </c>
      <c r="B27" s="3" t="s">
        <v>96</v>
      </c>
      <c r="C27" s="3" t="s">
        <v>141</v>
      </c>
      <c r="D27" s="3" t="s">
        <v>102</v>
      </c>
      <c r="E27" s="3" t="s">
        <v>51</v>
      </c>
      <c r="F27" s="3" t="s">
        <v>142</v>
      </c>
      <c r="G27" s="3" t="s">
        <v>94</v>
      </c>
      <c r="H27" s="3" t="s">
        <v>143</v>
      </c>
      <c r="I27" s="3" t="s">
        <v>18</v>
      </c>
      <c r="J27" s="2" t="s">
        <v>19</v>
      </c>
      <c r="K27" s="2"/>
    </row>
    <row r="28" customFormat="false" ht="79.85" hidden="false" customHeight="false" outlineLevel="0" collapsed="false">
      <c r="A28" s="2" t="n">
        <v>82</v>
      </c>
      <c r="B28" s="3" t="s">
        <v>96</v>
      </c>
      <c r="C28" s="3" t="s">
        <v>144</v>
      </c>
      <c r="D28" s="3" t="s">
        <v>102</v>
      </c>
      <c r="E28" s="3" t="s">
        <v>14</v>
      </c>
      <c r="F28" s="3" t="s">
        <v>145</v>
      </c>
      <c r="G28" s="3" t="s">
        <v>146</v>
      </c>
      <c r="H28" s="3" t="s">
        <v>147</v>
      </c>
      <c r="I28" s="3" t="s">
        <v>134</v>
      </c>
      <c r="J28" s="2" t="s">
        <v>48</v>
      </c>
      <c r="K28" s="2" t="s">
        <v>148</v>
      </c>
    </row>
    <row r="29" customFormat="false" ht="79.85" hidden="false" customHeight="false" outlineLevel="0" collapsed="false">
      <c r="A29" s="2" t="n">
        <v>83</v>
      </c>
      <c r="B29" s="3" t="s">
        <v>96</v>
      </c>
      <c r="C29" s="3" t="s">
        <v>149</v>
      </c>
      <c r="D29" s="3" t="s">
        <v>102</v>
      </c>
      <c r="E29" s="3" t="s">
        <v>51</v>
      </c>
      <c r="F29" s="3" t="s">
        <v>150</v>
      </c>
      <c r="G29" s="3" t="s">
        <v>151</v>
      </c>
      <c r="H29" s="3" t="s">
        <v>152</v>
      </c>
      <c r="I29" s="3" t="s">
        <v>134</v>
      </c>
      <c r="J29" s="2" t="s">
        <v>48</v>
      </c>
      <c r="K29" s="2" t="s">
        <v>153</v>
      </c>
    </row>
    <row r="30" customFormat="false" ht="68.65" hidden="false" customHeight="false" outlineLevel="0" collapsed="false">
      <c r="A30" s="2" t="n">
        <v>84</v>
      </c>
      <c r="B30" s="3" t="s">
        <v>96</v>
      </c>
      <c r="C30" s="3" t="s">
        <v>154</v>
      </c>
      <c r="D30" s="3" t="s">
        <v>102</v>
      </c>
      <c r="E30" s="3" t="s">
        <v>51</v>
      </c>
      <c r="F30" s="3" t="s">
        <v>155</v>
      </c>
      <c r="G30" s="3" t="s">
        <v>156</v>
      </c>
      <c r="H30" s="3" t="s">
        <v>157</v>
      </c>
      <c r="I30" s="3" t="s">
        <v>18</v>
      </c>
      <c r="J30" s="2" t="s">
        <v>19</v>
      </c>
      <c r="K30" s="2"/>
    </row>
    <row r="31" customFormat="false" ht="35.05" hidden="false" customHeight="false" outlineLevel="0" collapsed="false">
      <c r="A31" s="2" t="n">
        <v>85</v>
      </c>
      <c r="B31" s="3" t="s">
        <v>158</v>
      </c>
      <c r="C31" s="3" t="s">
        <v>159</v>
      </c>
      <c r="D31" s="3" t="s">
        <v>160</v>
      </c>
      <c r="E31" s="3" t="s">
        <v>14</v>
      </c>
      <c r="F31" s="3" t="s">
        <v>161</v>
      </c>
      <c r="G31" s="3" t="s">
        <v>16</v>
      </c>
      <c r="H31" s="3" t="s">
        <v>162</v>
      </c>
      <c r="I31" s="3" t="s">
        <v>18</v>
      </c>
      <c r="J31" s="2" t="s">
        <v>19</v>
      </c>
      <c r="K31" s="2"/>
    </row>
    <row r="32" customFormat="false" ht="57.45" hidden="false" customHeight="false" outlineLevel="0" collapsed="false">
      <c r="A32" s="2" t="n">
        <v>86</v>
      </c>
      <c r="B32" s="3" t="s">
        <v>158</v>
      </c>
      <c r="C32" s="3" t="s">
        <v>163</v>
      </c>
      <c r="D32" s="3" t="s">
        <v>164</v>
      </c>
      <c r="E32" s="3" t="s">
        <v>14</v>
      </c>
      <c r="F32" s="3" t="s">
        <v>165</v>
      </c>
      <c r="G32" s="3" t="s">
        <v>16</v>
      </c>
      <c r="H32" s="3" t="s">
        <v>166</v>
      </c>
      <c r="I32" s="3" t="s">
        <v>18</v>
      </c>
      <c r="J32" s="2" t="s">
        <v>19</v>
      </c>
      <c r="K32" s="2"/>
    </row>
    <row r="33" customFormat="false" ht="68.65" hidden="false" customHeight="false" outlineLevel="0" collapsed="false">
      <c r="A33" s="2" t="n">
        <v>87</v>
      </c>
      <c r="B33" s="3" t="s">
        <v>158</v>
      </c>
      <c r="C33" s="3" t="s">
        <v>167</v>
      </c>
      <c r="D33" s="3" t="s">
        <v>168</v>
      </c>
      <c r="E33" s="3" t="s">
        <v>14</v>
      </c>
      <c r="F33" s="3" t="s">
        <v>169</v>
      </c>
      <c r="G33" s="3" t="s">
        <v>16</v>
      </c>
      <c r="H33" s="3" t="s">
        <v>170</v>
      </c>
      <c r="I33" s="3" t="s">
        <v>18</v>
      </c>
      <c r="J33" s="2" t="s">
        <v>19</v>
      </c>
      <c r="K33" s="2"/>
    </row>
    <row r="34" customFormat="false" ht="46.25" hidden="false" customHeight="false" outlineLevel="0" collapsed="false">
      <c r="A34" s="2" t="n">
        <v>88</v>
      </c>
      <c r="B34" s="3" t="s">
        <v>158</v>
      </c>
      <c r="C34" s="3" t="s">
        <v>171</v>
      </c>
      <c r="D34" s="3" t="s">
        <v>172</v>
      </c>
      <c r="E34" s="3" t="s">
        <v>51</v>
      </c>
      <c r="F34" s="3" t="s">
        <v>173</v>
      </c>
      <c r="G34" s="3" t="s">
        <v>16</v>
      </c>
      <c r="H34" s="3" t="s">
        <v>174</v>
      </c>
      <c r="I34" s="3" t="s">
        <v>18</v>
      </c>
      <c r="J34" s="2" t="s">
        <v>19</v>
      </c>
      <c r="K34" s="2"/>
    </row>
    <row r="35" customFormat="false" ht="35.05" hidden="false" customHeight="false" outlineLevel="0" collapsed="false">
      <c r="A35" s="2" t="n">
        <v>89</v>
      </c>
      <c r="B35" s="3" t="s">
        <v>158</v>
      </c>
      <c r="C35" s="3" t="s">
        <v>175</v>
      </c>
      <c r="D35" s="3" t="s">
        <v>176</v>
      </c>
      <c r="E35" s="3" t="s">
        <v>14</v>
      </c>
      <c r="F35" s="3" t="s">
        <v>177</v>
      </c>
      <c r="G35" s="3" t="s">
        <v>16</v>
      </c>
      <c r="H35" s="3" t="s">
        <v>178</v>
      </c>
      <c r="I35" s="3" t="s">
        <v>18</v>
      </c>
      <c r="J35" s="2" t="s">
        <v>19</v>
      </c>
      <c r="K35" s="2"/>
    </row>
    <row r="36" customFormat="false" ht="35.05" hidden="false" customHeight="false" outlineLevel="0" collapsed="false">
      <c r="A36" s="2" t="n">
        <v>91</v>
      </c>
      <c r="B36" s="3" t="s">
        <v>158</v>
      </c>
      <c r="C36" s="3" t="s">
        <v>179</v>
      </c>
      <c r="D36" s="3" t="s">
        <v>180</v>
      </c>
      <c r="E36" s="3" t="s">
        <v>14</v>
      </c>
      <c r="F36" s="3" t="s">
        <v>181</v>
      </c>
      <c r="G36" s="3" t="s">
        <v>16</v>
      </c>
      <c r="H36" s="3" t="s">
        <v>182</v>
      </c>
      <c r="I36" s="3" t="s">
        <v>18</v>
      </c>
      <c r="J36" s="2" t="s">
        <v>19</v>
      </c>
      <c r="K36" s="2"/>
    </row>
    <row r="37" customFormat="false" ht="46.25" hidden="false" customHeight="false" outlineLevel="0" collapsed="false">
      <c r="A37" s="2" t="n">
        <v>92</v>
      </c>
      <c r="B37" s="3" t="s">
        <v>158</v>
      </c>
      <c r="C37" s="3" t="s">
        <v>183</v>
      </c>
      <c r="D37" s="3" t="s">
        <v>184</v>
      </c>
      <c r="E37" s="3" t="s">
        <v>14</v>
      </c>
      <c r="F37" s="3" t="s">
        <v>185</v>
      </c>
      <c r="G37" s="3" t="s">
        <v>16</v>
      </c>
      <c r="H37" s="3" t="s">
        <v>186</v>
      </c>
      <c r="I37" s="3" t="s">
        <v>18</v>
      </c>
      <c r="J37" s="2" t="s">
        <v>19</v>
      </c>
      <c r="K37" s="2"/>
    </row>
    <row r="38" customFormat="false" ht="23.85" hidden="false" customHeight="false" outlineLevel="0" collapsed="false">
      <c r="A38" s="2" t="n">
        <v>90</v>
      </c>
      <c r="B38" s="3" t="s">
        <v>187</v>
      </c>
      <c r="C38" s="3" t="s">
        <v>188</v>
      </c>
      <c r="D38" s="3" t="s">
        <v>189</v>
      </c>
      <c r="E38" s="3" t="s">
        <v>14</v>
      </c>
      <c r="F38" s="3" t="s">
        <v>190</v>
      </c>
      <c r="G38" s="3" t="s">
        <v>16</v>
      </c>
      <c r="H38" s="3" t="s">
        <v>191</v>
      </c>
      <c r="I38" s="3" t="s">
        <v>18</v>
      </c>
      <c r="J38" s="2" t="s">
        <v>19</v>
      </c>
      <c r="K38" s="2"/>
    </row>
    <row r="39" customFormat="false" ht="35.05" hidden="false" customHeight="false" outlineLevel="0" collapsed="false">
      <c r="A39" s="2" t="n">
        <v>93</v>
      </c>
      <c r="B39" s="3" t="s">
        <v>187</v>
      </c>
      <c r="C39" s="3" t="s">
        <v>192</v>
      </c>
      <c r="D39" s="3" t="s">
        <v>193</v>
      </c>
      <c r="E39" s="3" t="s">
        <v>51</v>
      </c>
      <c r="F39" s="3" t="s">
        <v>194</v>
      </c>
      <c r="G39" s="3" t="s">
        <v>16</v>
      </c>
      <c r="H39" s="3" t="s">
        <v>195</v>
      </c>
      <c r="I39" s="3" t="s">
        <v>18</v>
      </c>
      <c r="J39" s="2" t="s">
        <v>19</v>
      </c>
      <c r="K39" s="2"/>
    </row>
    <row r="40" customFormat="false" ht="57.45" hidden="false" customHeight="false" outlineLevel="0" collapsed="false">
      <c r="A40" s="2" t="n">
        <v>96</v>
      </c>
      <c r="B40" s="3" t="s">
        <v>196</v>
      </c>
      <c r="C40" s="3" t="s">
        <v>197</v>
      </c>
      <c r="D40" s="3" t="s">
        <v>198</v>
      </c>
      <c r="E40" s="3" t="s">
        <v>14</v>
      </c>
      <c r="F40" s="3" t="s">
        <v>199</v>
      </c>
      <c r="G40" s="3" t="s">
        <v>16</v>
      </c>
      <c r="H40" s="3" t="s">
        <v>200</v>
      </c>
      <c r="I40" s="3" t="s">
        <v>18</v>
      </c>
      <c r="J40" s="2" t="s">
        <v>19</v>
      </c>
      <c r="K40" s="2"/>
    </row>
    <row r="41" customFormat="false" ht="79.85" hidden="false" customHeight="false" outlineLevel="0" collapsed="false">
      <c r="A41" s="2" t="n">
        <v>97</v>
      </c>
      <c r="B41" s="3" t="s">
        <v>196</v>
      </c>
      <c r="C41" s="3" t="s">
        <v>201</v>
      </c>
      <c r="D41" s="3" t="s">
        <v>202</v>
      </c>
      <c r="E41" s="3" t="s">
        <v>14</v>
      </c>
      <c r="F41" s="3" t="s">
        <v>203</v>
      </c>
      <c r="G41" s="3" t="s">
        <v>16</v>
      </c>
      <c r="H41" s="3" t="s">
        <v>204</v>
      </c>
      <c r="I41" s="3" t="s">
        <v>205</v>
      </c>
      <c r="J41" s="2" t="s">
        <v>48</v>
      </c>
      <c r="K41" s="2" t="s">
        <v>206</v>
      </c>
    </row>
    <row r="42" customFormat="false" ht="68.65" hidden="false" customHeight="false" outlineLevel="0" collapsed="false">
      <c r="A42" s="2" t="n">
        <v>98</v>
      </c>
      <c r="B42" s="3" t="s">
        <v>196</v>
      </c>
      <c r="C42" s="3" t="s">
        <v>207</v>
      </c>
      <c r="D42" s="3" t="s">
        <v>208</v>
      </c>
      <c r="E42" s="3" t="s">
        <v>14</v>
      </c>
      <c r="F42" s="3" t="s">
        <v>209</v>
      </c>
      <c r="G42" s="3" t="s">
        <v>16</v>
      </c>
      <c r="H42" s="3" t="s">
        <v>210</v>
      </c>
      <c r="I42" s="3" t="s">
        <v>18</v>
      </c>
      <c r="J42" s="2" t="s">
        <v>19</v>
      </c>
      <c r="K42" s="2"/>
    </row>
    <row r="43" customFormat="false" ht="57.45" hidden="false" customHeight="false" outlineLevel="0" collapsed="false">
      <c r="A43" s="2" t="n">
        <v>99</v>
      </c>
      <c r="B43" s="3" t="s">
        <v>196</v>
      </c>
      <c r="C43" s="3" t="s">
        <v>211</v>
      </c>
      <c r="D43" s="3" t="s">
        <v>212</v>
      </c>
      <c r="E43" s="3" t="s">
        <v>14</v>
      </c>
      <c r="F43" s="3" t="s">
        <v>213</v>
      </c>
      <c r="G43" s="3" t="s">
        <v>16</v>
      </c>
      <c r="H43" s="3" t="s">
        <v>214</v>
      </c>
      <c r="I43" s="3" t="s">
        <v>18</v>
      </c>
      <c r="J43" s="2" t="s">
        <v>19</v>
      </c>
      <c r="K43" s="2"/>
    </row>
    <row r="44" customFormat="false" ht="57.45" hidden="false" customHeight="false" outlineLevel="0" collapsed="false">
      <c r="A44" s="2" t="n">
        <v>105</v>
      </c>
      <c r="B44" s="3" t="s">
        <v>196</v>
      </c>
      <c r="C44" s="3" t="s">
        <v>215</v>
      </c>
      <c r="D44" s="3" t="s">
        <v>216</v>
      </c>
      <c r="E44" s="3" t="s">
        <v>217</v>
      </c>
      <c r="F44" s="3" t="s">
        <v>218</v>
      </c>
      <c r="G44" s="3" t="s">
        <v>16</v>
      </c>
      <c r="H44" s="3" t="s">
        <v>219</v>
      </c>
      <c r="I44" s="3" t="s">
        <v>18</v>
      </c>
      <c r="J44" s="2" t="s">
        <v>19</v>
      </c>
      <c r="K44" s="2"/>
    </row>
    <row r="45" customFormat="false" ht="35.05" hidden="false" customHeight="false" outlineLevel="0" collapsed="false">
      <c r="A45" s="2" t="n">
        <v>100</v>
      </c>
      <c r="B45" s="3" t="s">
        <v>220</v>
      </c>
      <c r="C45" s="3" t="s">
        <v>221</v>
      </c>
      <c r="D45" s="3" t="s">
        <v>222</v>
      </c>
      <c r="E45" s="3" t="s">
        <v>14</v>
      </c>
      <c r="F45" s="3" t="s">
        <v>223</v>
      </c>
      <c r="G45" s="3" t="s">
        <v>16</v>
      </c>
      <c r="H45" s="3" t="s">
        <v>224</v>
      </c>
      <c r="I45" s="3" t="s">
        <v>18</v>
      </c>
      <c r="J45" s="2" t="s">
        <v>19</v>
      </c>
      <c r="K45" s="2"/>
    </row>
    <row r="46" customFormat="false" ht="79.85" hidden="false" customHeight="false" outlineLevel="0" collapsed="false">
      <c r="A46" s="2" t="n">
        <v>101</v>
      </c>
      <c r="B46" s="3" t="s">
        <v>220</v>
      </c>
      <c r="C46" s="3" t="s">
        <v>225</v>
      </c>
      <c r="D46" s="3" t="s">
        <v>222</v>
      </c>
      <c r="E46" s="3" t="s">
        <v>14</v>
      </c>
      <c r="F46" s="3" t="s">
        <v>226</v>
      </c>
      <c r="G46" s="3" t="s">
        <v>16</v>
      </c>
      <c r="H46" s="3" t="s">
        <v>227</v>
      </c>
      <c r="I46" s="3" t="s">
        <v>205</v>
      </c>
      <c r="J46" s="2" t="s">
        <v>48</v>
      </c>
      <c r="K46" s="2" t="s">
        <v>228</v>
      </c>
    </row>
    <row r="47" customFormat="false" ht="46.25" hidden="false" customHeight="false" outlineLevel="0" collapsed="false">
      <c r="A47" s="2" t="n">
        <v>102</v>
      </c>
      <c r="B47" s="3" t="s">
        <v>220</v>
      </c>
      <c r="C47" s="3" t="s">
        <v>229</v>
      </c>
      <c r="D47" s="3" t="s">
        <v>198</v>
      </c>
      <c r="E47" s="3" t="s">
        <v>51</v>
      </c>
      <c r="F47" s="3" t="s">
        <v>230</v>
      </c>
      <c r="G47" s="3" t="s">
        <v>16</v>
      </c>
      <c r="H47" s="3" t="s">
        <v>231</v>
      </c>
      <c r="I47" s="3" t="s">
        <v>232</v>
      </c>
      <c r="J47" s="2" t="s">
        <v>48</v>
      </c>
      <c r="K47" s="2" t="s">
        <v>233</v>
      </c>
    </row>
    <row r="48" customFormat="false" ht="46.25" hidden="false" customHeight="false" outlineLevel="0" collapsed="false">
      <c r="A48" s="2" t="n">
        <v>103</v>
      </c>
      <c r="B48" s="3" t="s">
        <v>220</v>
      </c>
      <c r="C48" s="3" t="s">
        <v>234</v>
      </c>
      <c r="D48" s="3" t="s">
        <v>198</v>
      </c>
      <c r="E48" s="3" t="s">
        <v>51</v>
      </c>
      <c r="F48" s="3" t="s">
        <v>235</v>
      </c>
      <c r="G48" s="3" t="s">
        <v>16</v>
      </c>
      <c r="H48" s="3" t="s">
        <v>236</v>
      </c>
      <c r="I48" s="3" t="s">
        <v>18</v>
      </c>
      <c r="J48" s="2" t="s">
        <v>19</v>
      </c>
      <c r="K48" s="2"/>
    </row>
    <row r="49" customFormat="false" ht="46.25" hidden="false" customHeight="false" outlineLevel="0" collapsed="false">
      <c r="A49" s="2" t="n">
        <v>104</v>
      </c>
      <c r="B49" s="3" t="s">
        <v>220</v>
      </c>
      <c r="C49" s="3" t="s">
        <v>237</v>
      </c>
      <c r="D49" s="3" t="s">
        <v>198</v>
      </c>
      <c r="E49" s="3" t="s">
        <v>51</v>
      </c>
      <c r="F49" s="3" t="s">
        <v>238</v>
      </c>
      <c r="G49" s="3" t="s">
        <v>16</v>
      </c>
      <c r="H49" s="3" t="s">
        <v>239</v>
      </c>
      <c r="I49" s="3" t="s">
        <v>18</v>
      </c>
      <c r="J49" s="2" t="s">
        <v>19</v>
      </c>
      <c r="K49" s="2"/>
    </row>
    <row r="50" customFormat="false" ht="57.45" hidden="false" customHeight="false" outlineLevel="0" collapsed="false">
      <c r="A50" s="2" t="n">
        <v>106</v>
      </c>
      <c r="B50" s="3" t="s">
        <v>220</v>
      </c>
      <c r="C50" s="3" t="s">
        <v>240</v>
      </c>
      <c r="D50" s="3" t="s">
        <v>198</v>
      </c>
      <c r="E50" s="3" t="s">
        <v>14</v>
      </c>
      <c r="F50" s="3" t="s">
        <v>241</v>
      </c>
      <c r="G50" s="3" t="s">
        <v>16</v>
      </c>
      <c r="H50" s="3" t="s">
        <v>242</v>
      </c>
      <c r="I50" s="3" t="s">
        <v>243</v>
      </c>
      <c r="J50" s="2" t="s">
        <v>48</v>
      </c>
      <c r="K50" s="2" t="s">
        <v>244</v>
      </c>
    </row>
    <row r="51" customFormat="false" ht="91" hidden="false" customHeight="false" outlineLevel="0" collapsed="false">
      <c r="A51" s="2" t="n">
        <v>107</v>
      </c>
      <c r="B51" s="3" t="s">
        <v>245</v>
      </c>
      <c r="C51" s="3" t="s">
        <v>246</v>
      </c>
      <c r="D51" s="3" t="s">
        <v>247</v>
      </c>
      <c r="E51" s="3" t="s">
        <v>14</v>
      </c>
      <c r="F51" s="3" t="s">
        <v>248</v>
      </c>
      <c r="G51" s="3" t="s">
        <v>249</v>
      </c>
      <c r="H51" s="3" t="s">
        <v>250</v>
      </c>
      <c r="I51" s="3" t="s">
        <v>18</v>
      </c>
      <c r="J51" s="2" t="s">
        <v>19</v>
      </c>
      <c r="K51" s="2"/>
    </row>
    <row r="52" customFormat="false" ht="68.65" hidden="false" customHeight="false" outlineLevel="0" collapsed="false">
      <c r="A52" s="2" t="n">
        <v>108</v>
      </c>
      <c r="B52" s="3" t="s">
        <v>245</v>
      </c>
      <c r="C52" s="3" t="s">
        <v>251</v>
      </c>
      <c r="D52" s="3" t="s">
        <v>252</v>
      </c>
      <c r="E52" s="3" t="s">
        <v>14</v>
      </c>
      <c r="F52" s="3" t="s">
        <v>253</v>
      </c>
      <c r="G52" s="3" t="s">
        <v>254</v>
      </c>
      <c r="H52" s="3" t="s">
        <v>255</v>
      </c>
      <c r="I52" s="3" t="s">
        <v>18</v>
      </c>
      <c r="J52" s="2" t="s">
        <v>19</v>
      </c>
      <c r="K52" s="2"/>
    </row>
    <row r="53" customFormat="false" ht="46.25" hidden="false" customHeight="false" outlineLevel="0" collapsed="false">
      <c r="A53" s="2" t="n">
        <v>109</v>
      </c>
      <c r="B53" s="3" t="s">
        <v>256</v>
      </c>
      <c r="C53" s="3" t="s">
        <v>257</v>
      </c>
      <c r="D53" s="3" t="s">
        <v>258</v>
      </c>
      <c r="E53" s="3" t="s">
        <v>14</v>
      </c>
      <c r="F53" s="3" t="s">
        <v>259</v>
      </c>
      <c r="G53" s="3" t="s">
        <v>260</v>
      </c>
      <c r="H53" s="3" t="s">
        <v>261</v>
      </c>
      <c r="I53" s="3" t="s">
        <v>18</v>
      </c>
      <c r="J53" s="2" t="s">
        <v>19</v>
      </c>
      <c r="K53" s="2"/>
    </row>
    <row r="54" customFormat="false" ht="46.25" hidden="false" customHeight="false" outlineLevel="0" collapsed="false">
      <c r="A54" s="2" t="n">
        <v>110</v>
      </c>
      <c r="B54" s="3" t="s">
        <v>256</v>
      </c>
      <c r="C54" s="3" t="s">
        <v>262</v>
      </c>
      <c r="D54" s="3" t="s">
        <v>263</v>
      </c>
      <c r="E54" s="3" t="s">
        <v>14</v>
      </c>
      <c r="F54" s="3" t="s">
        <v>264</v>
      </c>
      <c r="G54" s="3" t="s">
        <v>265</v>
      </c>
      <c r="H54" s="3" t="s">
        <v>266</v>
      </c>
      <c r="I54" s="3" t="s">
        <v>18</v>
      </c>
      <c r="J54" s="2" t="s">
        <v>19</v>
      </c>
      <c r="K54" s="2"/>
    </row>
    <row r="55" customFormat="false" ht="57.45" hidden="false" customHeight="false" outlineLevel="0" collapsed="false">
      <c r="A55" s="2" t="n">
        <v>111</v>
      </c>
      <c r="B55" s="3" t="s">
        <v>256</v>
      </c>
      <c r="C55" s="3" t="s">
        <v>267</v>
      </c>
      <c r="D55" s="3" t="s">
        <v>268</v>
      </c>
      <c r="E55" s="3" t="s">
        <v>14</v>
      </c>
      <c r="F55" s="3" t="s">
        <v>269</v>
      </c>
      <c r="G55" s="3" t="s">
        <v>16</v>
      </c>
      <c r="H55" s="3" t="s">
        <v>270</v>
      </c>
      <c r="I55" s="3" t="s">
        <v>18</v>
      </c>
      <c r="J55" s="2" t="s">
        <v>19</v>
      </c>
      <c r="K55" s="2"/>
    </row>
    <row r="56" customFormat="false" ht="57.45" hidden="false" customHeight="false" outlineLevel="0" collapsed="false">
      <c r="A56" s="2" t="n">
        <v>112</v>
      </c>
      <c r="B56" s="3" t="s">
        <v>256</v>
      </c>
      <c r="C56" s="3" t="s">
        <v>271</v>
      </c>
      <c r="D56" s="3" t="s">
        <v>272</v>
      </c>
      <c r="E56" s="3" t="s">
        <v>14</v>
      </c>
      <c r="F56" s="3" t="s">
        <v>273</v>
      </c>
      <c r="G56" s="3" t="s">
        <v>274</v>
      </c>
      <c r="H56" s="3" t="s">
        <v>275</v>
      </c>
      <c r="I56" s="3" t="s">
        <v>18</v>
      </c>
      <c r="J56" s="2" t="s">
        <v>19</v>
      </c>
      <c r="K56" s="2"/>
    </row>
    <row r="57" customFormat="false" ht="46.25" hidden="false" customHeight="false" outlineLevel="0" collapsed="false">
      <c r="A57" s="2" t="n">
        <v>113</v>
      </c>
      <c r="B57" s="3" t="s">
        <v>256</v>
      </c>
      <c r="C57" s="3" t="s">
        <v>276</v>
      </c>
      <c r="D57" s="3" t="s">
        <v>277</v>
      </c>
      <c r="E57" s="3" t="s">
        <v>51</v>
      </c>
      <c r="F57" s="3" t="s">
        <v>278</v>
      </c>
      <c r="G57" s="3" t="s">
        <v>279</v>
      </c>
      <c r="H57" s="3" t="s">
        <v>280</v>
      </c>
      <c r="I57" s="3" t="s">
        <v>18</v>
      </c>
      <c r="J57" s="2" t="s">
        <v>19</v>
      </c>
      <c r="K57" s="2"/>
    </row>
    <row r="58" customFormat="false" ht="46.25" hidden="false" customHeight="false" outlineLevel="0" collapsed="false">
      <c r="A58" s="2" t="n">
        <v>114</v>
      </c>
      <c r="B58" s="3" t="s">
        <v>256</v>
      </c>
      <c r="C58" s="3" t="s">
        <v>281</v>
      </c>
      <c r="D58" s="3" t="s">
        <v>268</v>
      </c>
      <c r="E58" s="3" t="s">
        <v>14</v>
      </c>
      <c r="F58" s="3" t="s">
        <v>282</v>
      </c>
      <c r="G58" s="3" t="s">
        <v>283</v>
      </c>
      <c r="H58" s="3" t="s">
        <v>284</v>
      </c>
      <c r="I58" s="3" t="s">
        <v>18</v>
      </c>
      <c r="J58" s="2" t="s">
        <v>19</v>
      </c>
      <c r="K58" s="2"/>
    </row>
    <row r="59" customFormat="false" ht="57.45" hidden="false" customHeight="false" outlineLevel="0" collapsed="false">
      <c r="A59" s="2" t="n">
        <v>115</v>
      </c>
      <c r="B59" s="3" t="s">
        <v>256</v>
      </c>
      <c r="C59" s="3" t="s">
        <v>285</v>
      </c>
      <c r="D59" s="3" t="s">
        <v>286</v>
      </c>
      <c r="E59" s="3" t="s">
        <v>51</v>
      </c>
      <c r="F59" s="3" t="s">
        <v>287</v>
      </c>
      <c r="G59" s="3" t="s">
        <v>288</v>
      </c>
      <c r="H59" s="3" t="s">
        <v>289</v>
      </c>
      <c r="I59" s="3" t="s">
        <v>18</v>
      </c>
      <c r="J59" s="2" t="s">
        <v>19</v>
      </c>
      <c r="K59" s="2"/>
    </row>
    <row r="60" customFormat="false" ht="57.45" hidden="false" customHeight="false" outlineLevel="0" collapsed="false">
      <c r="A60" s="2" t="n">
        <v>116</v>
      </c>
      <c r="B60" s="3" t="s">
        <v>256</v>
      </c>
      <c r="C60" s="3" t="s">
        <v>290</v>
      </c>
      <c r="D60" s="3" t="s">
        <v>291</v>
      </c>
      <c r="E60" s="3" t="s">
        <v>51</v>
      </c>
      <c r="F60" s="3" t="s">
        <v>292</v>
      </c>
      <c r="G60" s="3" t="s">
        <v>293</v>
      </c>
      <c r="H60" s="3" t="s">
        <v>294</v>
      </c>
      <c r="I60" s="3" t="s">
        <v>18</v>
      </c>
      <c r="J60" s="2" t="s">
        <v>19</v>
      </c>
      <c r="K60" s="2"/>
    </row>
    <row r="61" customFormat="false" ht="68.65" hidden="false" customHeight="false" outlineLevel="0" collapsed="false">
      <c r="A61" s="2" t="n">
        <v>117</v>
      </c>
      <c r="B61" s="3" t="s">
        <v>256</v>
      </c>
      <c r="C61" s="3" t="s">
        <v>295</v>
      </c>
      <c r="D61" s="3" t="s">
        <v>296</v>
      </c>
      <c r="E61" s="3" t="s">
        <v>14</v>
      </c>
      <c r="F61" s="3" t="s">
        <v>297</v>
      </c>
      <c r="G61" s="3" t="s">
        <v>298</v>
      </c>
      <c r="H61" s="3" t="s">
        <v>299</v>
      </c>
      <c r="I61" s="3" t="s">
        <v>18</v>
      </c>
      <c r="J61" s="2" t="s">
        <v>19</v>
      </c>
      <c r="K61" s="2"/>
    </row>
    <row r="62" customFormat="false" ht="102.2" hidden="false" customHeight="false" outlineLevel="0" collapsed="false">
      <c r="A62" s="2" t="n">
        <v>118</v>
      </c>
      <c r="B62" s="3" t="s">
        <v>300</v>
      </c>
      <c r="C62" s="3" t="s">
        <v>301</v>
      </c>
      <c r="D62" s="3" t="s">
        <v>302</v>
      </c>
      <c r="E62" s="3" t="s">
        <v>14</v>
      </c>
      <c r="F62" s="3" t="s">
        <v>303</v>
      </c>
      <c r="G62" s="3" t="s">
        <v>304</v>
      </c>
      <c r="H62" s="3" t="s">
        <v>305</v>
      </c>
      <c r="I62" s="3" t="s">
        <v>18</v>
      </c>
      <c r="J62" s="2" t="s">
        <v>19</v>
      </c>
      <c r="K62" s="2"/>
    </row>
    <row r="63" customFormat="false" ht="46.25" hidden="false" customHeight="false" outlineLevel="0" collapsed="false">
      <c r="A63" s="2" t="n">
        <v>133</v>
      </c>
      <c r="B63" s="3" t="s">
        <v>300</v>
      </c>
      <c r="C63" s="3" t="s">
        <v>306</v>
      </c>
      <c r="D63" s="3" t="s">
        <v>307</v>
      </c>
      <c r="E63" s="3" t="s">
        <v>51</v>
      </c>
      <c r="F63" s="3" t="s">
        <v>308</v>
      </c>
      <c r="G63" s="3" t="s">
        <v>309</v>
      </c>
      <c r="H63" s="3" t="s">
        <v>310</v>
      </c>
      <c r="I63" s="3" t="s">
        <v>18</v>
      </c>
      <c r="J63" s="2" t="s">
        <v>19</v>
      </c>
      <c r="K63" s="2"/>
    </row>
    <row r="64" customFormat="false" ht="79.85" hidden="false" customHeight="false" outlineLevel="0" collapsed="false">
      <c r="A64" s="2" t="n">
        <v>137</v>
      </c>
      <c r="B64" s="3" t="s">
        <v>300</v>
      </c>
      <c r="C64" s="3" t="s">
        <v>311</v>
      </c>
      <c r="D64" s="3" t="s">
        <v>312</v>
      </c>
      <c r="E64" s="3" t="s">
        <v>217</v>
      </c>
      <c r="F64" s="3" t="s">
        <v>313</v>
      </c>
      <c r="G64" s="3" t="s">
        <v>314</v>
      </c>
      <c r="H64" s="3" t="s">
        <v>315</v>
      </c>
      <c r="I64" s="3" t="s">
        <v>18</v>
      </c>
      <c r="J64" s="2" t="s">
        <v>19</v>
      </c>
      <c r="K64" s="2"/>
    </row>
    <row r="65" customFormat="false" ht="57.45" hidden="false" customHeight="false" outlineLevel="0" collapsed="false">
      <c r="A65" s="2" t="n">
        <v>138</v>
      </c>
      <c r="B65" s="3" t="s">
        <v>300</v>
      </c>
      <c r="C65" s="3" t="s">
        <v>316</v>
      </c>
      <c r="D65" s="3" t="s">
        <v>317</v>
      </c>
      <c r="E65" s="3" t="s">
        <v>217</v>
      </c>
      <c r="F65" s="3" t="s">
        <v>318</v>
      </c>
      <c r="G65" s="3" t="s">
        <v>319</v>
      </c>
      <c r="H65" s="3" t="s">
        <v>320</v>
      </c>
      <c r="I65" s="3" t="s">
        <v>18</v>
      </c>
      <c r="J65" s="2" t="s">
        <v>19</v>
      </c>
      <c r="K65" s="2"/>
    </row>
    <row r="66" customFormat="false" ht="46.25" hidden="false" customHeight="false" outlineLevel="0" collapsed="false">
      <c r="A66" s="2" t="n">
        <v>139</v>
      </c>
      <c r="B66" s="3" t="s">
        <v>300</v>
      </c>
      <c r="C66" s="3" t="s">
        <v>321</v>
      </c>
      <c r="D66" s="3" t="s">
        <v>322</v>
      </c>
      <c r="E66" s="3" t="s">
        <v>51</v>
      </c>
      <c r="F66" s="3" t="s">
        <v>323</v>
      </c>
      <c r="G66" s="3" t="s">
        <v>324</v>
      </c>
      <c r="H66" s="3" t="s">
        <v>325</v>
      </c>
      <c r="I66" s="3" t="s">
        <v>18</v>
      </c>
      <c r="J66" s="2" t="s">
        <v>19</v>
      </c>
      <c r="K66" s="2"/>
    </row>
    <row r="67" customFormat="false" ht="46.25" hidden="false" customHeight="false" outlineLevel="0" collapsed="false">
      <c r="A67" s="2" t="n">
        <v>119</v>
      </c>
      <c r="B67" s="3" t="s">
        <v>300</v>
      </c>
      <c r="C67" s="3" t="s">
        <v>326</v>
      </c>
      <c r="D67" s="3" t="s">
        <v>327</v>
      </c>
      <c r="E67" s="3" t="s">
        <v>14</v>
      </c>
      <c r="F67" s="3" t="s">
        <v>328</v>
      </c>
      <c r="G67" s="3" t="s">
        <v>16</v>
      </c>
      <c r="H67" s="3" t="s">
        <v>329</v>
      </c>
      <c r="I67" s="3" t="s">
        <v>330</v>
      </c>
      <c r="J67" s="2" t="s">
        <v>48</v>
      </c>
      <c r="K67" s="2" t="s">
        <v>331</v>
      </c>
    </row>
    <row r="68" customFormat="false" ht="57.45" hidden="false" customHeight="false" outlineLevel="0" collapsed="false">
      <c r="A68" s="2" t="n">
        <v>120</v>
      </c>
      <c r="B68" s="3" t="s">
        <v>300</v>
      </c>
      <c r="C68" s="3" t="s">
        <v>332</v>
      </c>
      <c r="D68" s="3" t="s">
        <v>333</v>
      </c>
      <c r="E68" s="3" t="s">
        <v>14</v>
      </c>
      <c r="F68" s="3" t="s">
        <v>334</v>
      </c>
      <c r="G68" s="3" t="s">
        <v>335</v>
      </c>
      <c r="H68" s="3" t="s">
        <v>336</v>
      </c>
      <c r="I68" s="3" t="s">
        <v>18</v>
      </c>
      <c r="J68" s="2" t="s">
        <v>19</v>
      </c>
      <c r="K68" s="2"/>
    </row>
    <row r="69" customFormat="false" ht="57.45" hidden="false" customHeight="false" outlineLevel="0" collapsed="false">
      <c r="A69" s="2" t="n">
        <v>121</v>
      </c>
      <c r="B69" s="3" t="s">
        <v>300</v>
      </c>
      <c r="C69" s="3" t="s">
        <v>337</v>
      </c>
      <c r="D69" s="3" t="s">
        <v>338</v>
      </c>
      <c r="E69" s="3" t="s">
        <v>14</v>
      </c>
      <c r="F69" s="3" t="s">
        <v>339</v>
      </c>
      <c r="G69" s="3" t="s">
        <v>340</v>
      </c>
      <c r="H69" s="3" t="s">
        <v>341</v>
      </c>
      <c r="I69" s="3" t="s">
        <v>18</v>
      </c>
      <c r="J69" s="2" t="s">
        <v>19</v>
      </c>
      <c r="K69" s="2"/>
    </row>
    <row r="70" customFormat="false" ht="57.45" hidden="false" customHeight="false" outlineLevel="0" collapsed="false">
      <c r="A70" s="2" t="n">
        <v>122</v>
      </c>
      <c r="B70" s="3" t="s">
        <v>300</v>
      </c>
      <c r="C70" s="3" t="s">
        <v>342</v>
      </c>
      <c r="D70" s="3" t="s">
        <v>343</v>
      </c>
      <c r="E70" s="3" t="s">
        <v>14</v>
      </c>
      <c r="F70" s="3" t="s">
        <v>344</v>
      </c>
      <c r="G70" s="3" t="s">
        <v>345</v>
      </c>
      <c r="H70" s="3" t="s">
        <v>346</v>
      </c>
      <c r="I70" s="3" t="s">
        <v>347</v>
      </c>
      <c r="J70" s="2" t="s">
        <v>48</v>
      </c>
      <c r="K70" s="2" t="s">
        <v>348</v>
      </c>
    </row>
    <row r="71" customFormat="false" ht="57.45" hidden="false" customHeight="false" outlineLevel="0" collapsed="false">
      <c r="A71" s="2" t="n">
        <v>123</v>
      </c>
      <c r="B71" s="3" t="s">
        <v>300</v>
      </c>
      <c r="C71" s="3" t="s">
        <v>349</v>
      </c>
      <c r="D71" s="3" t="s">
        <v>350</v>
      </c>
      <c r="E71" s="3" t="s">
        <v>14</v>
      </c>
      <c r="F71" s="3" t="s">
        <v>351</v>
      </c>
      <c r="G71" s="3" t="s">
        <v>352</v>
      </c>
      <c r="H71" s="3" t="s">
        <v>353</v>
      </c>
      <c r="I71" s="3" t="s">
        <v>18</v>
      </c>
      <c r="J71" s="2" t="s">
        <v>19</v>
      </c>
      <c r="K71" s="2"/>
    </row>
    <row r="72" customFormat="false" ht="46.25" hidden="false" customHeight="false" outlineLevel="0" collapsed="false">
      <c r="A72" s="2" t="n">
        <v>124</v>
      </c>
      <c r="B72" s="3" t="s">
        <v>300</v>
      </c>
      <c r="C72" s="3" t="s">
        <v>354</v>
      </c>
      <c r="D72" s="3" t="s">
        <v>355</v>
      </c>
      <c r="E72" s="3" t="s">
        <v>14</v>
      </c>
      <c r="F72" s="3" t="s">
        <v>356</v>
      </c>
      <c r="G72" s="3" t="s">
        <v>309</v>
      </c>
      <c r="H72" s="3" t="s">
        <v>357</v>
      </c>
      <c r="I72" s="3" t="s">
        <v>18</v>
      </c>
      <c r="J72" s="2" t="s">
        <v>19</v>
      </c>
      <c r="K72" s="2"/>
    </row>
    <row r="73" customFormat="false" ht="57.45" hidden="false" customHeight="false" outlineLevel="0" collapsed="false">
      <c r="A73" s="2" t="n">
        <v>128</v>
      </c>
      <c r="B73" s="3" t="s">
        <v>300</v>
      </c>
      <c r="C73" s="3" t="s">
        <v>358</v>
      </c>
      <c r="D73" s="3" t="s">
        <v>359</v>
      </c>
      <c r="E73" s="3" t="s">
        <v>51</v>
      </c>
      <c r="F73" s="3" t="s">
        <v>360</v>
      </c>
      <c r="G73" s="3" t="s">
        <v>361</v>
      </c>
      <c r="H73" s="3" t="s">
        <v>362</v>
      </c>
      <c r="I73" s="3" t="s">
        <v>18</v>
      </c>
      <c r="J73" s="2" t="s">
        <v>19</v>
      </c>
      <c r="K73" s="2"/>
    </row>
    <row r="74" customFormat="false" ht="46.25" hidden="false" customHeight="false" outlineLevel="0" collapsed="false">
      <c r="A74" s="2" t="n">
        <v>129</v>
      </c>
      <c r="B74" s="3" t="s">
        <v>300</v>
      </c>
      <c r="C74" s="3" t="s">
        <v>363</v>
      </c>
      <c r="D74" s="3" t="s">
        <v>364</v>
      </c>
      <c r="E74" s="3" t="s">
        <v>14</v>
      </c>
      <c r="F74" s="3" t="s">
        <v>365</v>
      </c>
      <c r="G74" s="3" t="s">
        <v>366</v>
      </c>
      <c r="H74" s="3" t="s">
        <v>367</v>
      </c>
      <c r="I74" s="3" t="s">
        <v>18</v>
      </c>
      <c r="J74" s="2" t="s">
        <v>19</v>
      </c>
      <c r="K74" s="2"/>
    </row>
    <row r="75" customFormat="false" ht="46.25" hidden="false" customHeight="false" outlineLevel="0" collapsed="false">
      <c r="A75" s="2" t="n">
        <v>131</v>
      </c>
      <c r="B75" s="3" t="s">
        <v>300</v>
      </c>
      <c r="C75" s="3" t="s">
        <v>368</v>
      </c>
      <c r="D75" s="3" t="s">
        <v>369</v>
      </c>
      <c r="E75" s="3" t="s">
        <v>51</v>
      </c>
      <c r="F75" s="3" t="s">
        <v>370</v>
      </c>
      <c r="G75" s="3" t="s">
        <v>371</v>
      </c>
      <c r="H75" s="3" t="s">
        <v>372</v>
      </c>
      <c r="I75" s="3" t="s">
        <v>18</v>
      </c>
      <c r="J75" s="2" t="s">
        <v>19</v>
      </c>
      <c r="K75" s="2"/>
    </row>
    <row r="76" customFormat="false" ht="46.25" hidden="false" customHeight="false" outlineLevel="0" collapsed="false">
      <c r="A76" s="2" t="n">
        <v>135</v>
      </c>
      <c r="B76" s="3" t="s">
        <v>300</v>
      </c>
      <c r="C76" s="3" t="s">
        <v>373</v>
      </c>
      <c r="D76" s="3" t="s">
        <v>364</v>
      </c>
      <c r="E76" s="3" t="s">
        <v>14</v>
      </c>
      <c r="F76" s="3" t="s">
        <v>374</v>
      </c>
      <c r="G76" s="3" t="s">
        <v>375</v>
      </c>
      <c r="H76" s="3" t="s">
        <v>376</v>
      </c>
      <c r="I76" s="3" t="s">
        <v>18</v>
      </c>
      <c r="J76" s="2" t="s">
        <v>19</v>
      </c>
      <c r="K76" s="2"/>
    </row>
    <row r="77" customFormat="false" ht="46.25" hidden="false" customHeight="false" outlineLevel="0" collapsed="false">
      <c r="A77" s="2" t="n">
        <v>136</v>
      </c>
      <c r="B77" s="3" t="s">
        <v>300</v>
      </c>
      <c r="C77" s="3" t="s">
        <v>377</v>
      </c>
      <c r="D77" s="3" t="s">
        <v>364</v>
      </c>
      <c r="E77" s="3" t="s">
        <v>14</v>
      </c>
      <c r="F77" s="3" t="s">
        <v>378</v>
      </c>
      <c r="G77" s="3" t="s">
        <v>379</v>
      </c>
      <c r="H77" s="3" t="s">
        <v>380</v>
      </c>
      <c r="I77" s="3" t="s">
        <v>18</v>
      </c>
      <c r="J77" s="2" t="s">
        <v>19</v>
      </c>
      <c r="K77" s="2"/>
    </row>
    <row r="78" customFormat="false" ht="46.25" hidden="false" customHeight="false" outlineLevel="0" collapsed="false">
      <c r="A78" s="2" t="n">
        <v>30</v>
      </c>
      <c r="B78" s="3" t="s">
        <v>381</v>
      </c>
      <c r="C78" s="3" t="s">
        <v>382</v>
      </c>
      <c r="D78" s="3" t="s">
        <v>383</v>
      </c>
      <c r="E78" s="3" t="s">
        <v>14</v>
      </c>
      <c r="F78" s="3" t="s">
        <v>384</v>
      </c>
      <c r="G78" s="3" t="s">
        <v>16</v>
      </c>
      <c r="H78" s="3" t="s">
        <v>385</v>
      </c>
      <c r="I78" s="3" t="s">
        <v>18</v>
      </c>
      <c r="J78" s="2" t="s">
        <v>19</v>
      </c>
      <c r="K78" s="2"/>
    </row>
    <row r="79" customFormat="false" ht="46.25" hidden="false" customHeight="false" outlineLevel="0" collapsed="false">
      <c r="A79" s="2" t="n">
        <v>31</v>
      </c>
      <c r="B79" s="3" t="s">
        <v>381</v>
      </c>
      <c r="C79" s="3" t="s">
        <v>386</v>
      </c>
      <c r="D79" s="3" t="s">
        <v>387</v>
      </c>
      <c r="E79" s="3" t="s">
        <v>14</v>
      </c>
      <c r="F79" s="3" t="s">
        <v>388</v>
      </c>
      <c r="G79" s="3" t="s">
        <v>16</v>
      </c>
      <c r="H79" s="3" t="s">
        <v>389</v>
      </c>
      <c r="I79" s="3" t="s">
        <v>18</v>
      </c>
      <c r="J79" s="2" t="s">
        <v>19</v>
      </c>
      <c r="K79" s="2"/>
    </row>
    <row r="80" customFormat="false" ht="46.25" hidden="false" customHeight="false" outlineLevel="0" collapsed="false">
      <c r="A80" s="2" t="n">
        <v>32</v>
      </c>
      <c r="B80" s="3" t="s">
        <v>381</v>
      </c>
      <c r="C80" s="3" t="s">
        <v>390</v>
      </c>
      <c r="D80" s="3" t="s">
        <v>391</v>
      </c>
      <c r="E80" s="3" t="s">
        <v>14</v>
      </c>
      <c r="F80" s="3" t="s">
        <v>392</v>
      </c>
      <c r="G80" s="3" t="s">
        <v>16</v>
      </c>
      <c r="H80" s="3" t="s">
        <v>393</v>
      </c>
      <c r="I80" s="3" t="s">
        <v>18</v>
      </c>
      <c r="J80" s="2" t="s">
        <v>19</v>
      </c>
      <c r="K80" s="2"/>
    </row>
    <row r="81" customFormat="false" ht="46.25" hidden="false" customHeight="false" outlineLevel="0" collapsed="false">
      <c r="A81" s="2" t="n">
        <v>33</v>
      </c>
      <c r="B81" s="3" t="s">
        <v>381</v>
      </c>
      <c r="C81" s="3" t="s">
        <v>394</v>
      </c>
      <c r="D81" s="3" t="s">
        <v>395</v>
      </c>
      <c r="E81" s="3" t="s">
        <v>51</v>
      </c>
      <c r="F81" s="3" t="s">
        <v>396</v>
      </c>
      <c r="G81" s="3" t="s">
        <v>16</v>
      </c>
      <c r="H81" s="3" t="s">
        <v>397</v>
      </c>
      <c r="I81" s="3" t="s">
        <v>18</v>
      </c>
      <c r="J81" s="2" t="s">
        <v>19</v>
      </c>
      <c r="K81" s="2"/>
    </row>
    <row r="82" customFormat="false" ht="46.25" hidden="false" customHeight="false" outlineLevel="0" collapsed="false">
      <c r="A82" s="2" t="n">
        <v>34</v>
      </c>
      <c r="B82" s="3" t="s">
        <v>381</v>
      </c>
      <c r="C82" s="3" t="s">
        <v>398</v>
      </c>
      <c r="D82" s="3" t="s">
        <v>399</v>
      </c>
      <c r="E82" s="3" t="s">
        <v>51</v>
      </c>
      <c r="F82" s="3" t="s">
        <v>400</v>
      </c>
      <c r="G82" s="3" t="s">
        <v>16</v>
      </c>
      <c r="H82" s="3" t="s">
        <v>401</v>
      </c>
      <c r="I82" s="3" t="s">
        <v>18</v>
      </c>
      <c r="J82" s="2" t="s">
        <v>19</v>
      </c>
      <c r="K82" s="2"/>
    </row>
    <row r="83" customFormat="false" ht="46.25" hidden="false" customHeight="false" outlineLevel="0" collapsed="false">
      <c r="A83" s="2" t="n">
        <v>35</v>
      </c>
      <c r="B83" s="3" t="s">
        <v>381</v>
      </c>
      <c r="C83" s="3" t="s">
        <v>402</v>
      </c>
      <c r="D83" s="3" t="s">
        <v>403</v>
      </c>
      <c r="E83" s="3" t="s">
        <v>14</v>
      </c>
      <c r="F83" s="3" t="s">
        <v>404</v>
      </c>
      <c r="G83" s="3" t="s">
        <v>16</v>
      </c>
      <c r="H83" s="3" t="s">
        <v>405</v>
      </c>
      <c r="I83" s="3" t="s">
        <v>18</v>
      </c>
      <c r="J83" s="2" t="s">
        <v>19</v>
      </c>
      <c r="K83" s="2"/>
    </row>
    <row r="84" customFormat="false" ht="23.85" hidden="false" customHeight="false" outlineLevel="0" collapsed="false">
      <c r="A84" s="2" t="n">
        <v>36</v>
      </c>
      <c r="B84" s="3" t="s">
        <v>381</v>
      </c>
      <c r="C84" s="3" t="s">
        <v>406</v>
      </c>
      <c r="D84" s="3" t="s">
        <v>407</v>
      </c>
      <c r="E84" s="3" t="s">
        <v>14</v>
      </c>
      <c r="F84" s="3" t="s">
        <v>408</v>
      </c>
      <c r="G84" s="3" t="s">
        <v>16</v>
      </c>
      <c r="H84" s="3" t="s">
        <v>409</v>
      </c>
      <c r="I84" s="3" t="s">
        <v>18</v>
      </c>
      <c r="J84" s="2" t="s">
        <v>19</v>
      </c>
      <c r="K84" s="2"/>
    </row>
    <row r="85" customFormat="false" ht="23.85" hidden="false" customHeight="false" outlineLevel="0" collapsed="false">
      <c r="A85" s="2" t="n">
        <v>37</v>
      </c>
      <c r="B85" s="3" t="s">
        <v>381</v>
      </c>
      <c r="C85" s="3" t="s">
        <v>410</v>
      </c>
      <c r="D85" s="3" t="s">
        <v>411</v>
      </c>
      <c r="E85" s="3" t="s">
        <v>51</v>
      </c>
      <c r="F85" s="3" t="s">
        <v>412</v>
      </c>
      <c r="G85" s="3" t="s">
        <v>16</v>
      </c>
      <c r="H85" s="3" t="s">
        <v>413</v>
      </c>
      <c r="I85" s="3" t="s">
        <v>18</v>
      </c>
      <c r="J85" s="2" t="s">
        <v>19</v>
      </c>
      <c r="K85" s="2"/>
    </row>
    <row r="86" customFormat="false" ht="46.25" hidden="false" customHeight="false" outlineLevel="0" collapsed="false">
      <c r="A86" s="2" t="n">
        <v>38</v>
      </c>
      <c r="B86" s="3" t="s">
        <v>381</v>
      </c>
      <c r="C86" s="3" t="s">
        <v>414</v>
      </c>
      <c r="D86" s="3" t="s">
        <v>415</v>
      </c>
      <c r="E86" s="3" t="s">
        <v>14</v>
      </c>
      <c r="F86" s="3" t="s">
        <v>416</v>
      </c>
      <c r="G86" s="3" t="s">
        <v>16</v>
      </c>
      <c r="H86" s="3" t="s">
        <v>417</v>
      </c>
      <c r="I86" s="3" t="s">
        <v>18</v>
      </c>
      <c r="J86" s="2" t="s">
        <v>19</v>
      </c>
      <c r="K86" s="2"/>
    </row>
    <row r="87" customFormat="false" ht="46.25" hidden="false" customHeight="false" outlineLevel="0" collapsed="false">
      <c r="A87" s="2" t="n">
        <v>39</v>
      </c>
      <c r="B87" s="3" t="s">
        <v>381</v>
      </c>
      <c r="C87" s="3" t="s">
        <v>418</v>
      </c>
      <c r="D87" s="3" t="s">
        <v>415</v>
      </c>
      <c r="E87" s="3" t="s">
        <v>51</v>
      </c>
      <c r="F87" s="3" t="s">
        <v>419</v>
      </c>
      <c r="G87" s="3" t="s">
        <v>16</v>
      </c>
      <c r="H87" s="3" t="s">
        <v>420</v>
      </c>
      <c r="I87" s="3" t="s">
        <v>18</v>
      </c>
      <c r="J87" s="2" t="s">
        <v>19</v>
      </c>
      <c r="K87" s="2"/>
    </row>
    <row r="88" customFormat="false" ht="46.25" hidden="false" customHeight="false" outlineLevel="0" collapsed="false">
      <c r="A88" s="2" t="n">
        <v>40</v>
      </c>
      <c r="B88" s="3" t="s">
        <v>381</v>
      </c>
      <c r="C88" s="3" t="s">
        <v>421</v>
      </c>
      <c r="D88" s="3" t="s">
        <v>422</v>
      </c>
      <c r="E88" s="3" t="s">
        <v>14</v>
      </c>
      <c r="F88" s="3" t="s">
        <v>423</v>
      </c>
      <c r="G88" s="3" t="s">
        <v>16</v>
      </c>
      <c r="H88" s="3" t="s">
        <v>424</v>
      </c>
      <c r="I88" s="3" t="s">
        <v>18</v>
      </c>
      <c r="J88" s="2" t="s">
        <v>19</v>
      </c>
      <c r="K88" s="2"/>
    </row>
    <row r="89" customFormat="false" ht="35.05" hidden="false" customHeight="false" outlineLevel="0" collapsed="false">
      <c r="A89" s="2" t="n">
        <v>41</v>
      </c>
      <c r="B89" s="3" t="s">
        <v>381</v>
      </c>
      <c r="C89" s="3" t="s">
        <v>425</v>
      </c>
      <c r="D89" s="3" t="s">
        <v>426</v>
      </c>
      <c r="E89" s="3" t="s">
        <v>51</v>
      </c>
      <c r="F89" s="3" t="s">
        <v>427</v>
      </c>
      <c r="G89" s="3" t="s">
        <v>16</v>
      </c>
      <c r="H89" s="3" t="s">
        <v>428</v>
      </c>
      <c r="I89" s="3" t="s">
        <v>18</v>
      </c>
      <c r="J89" s="2" t="s">
        <v>19</v>
      </c>
      <c r="K89" s="2"/>
    </row>
    <row r="90" customFormat="false" ht="46.25" hidden="false" customHeight="false" outlineLevel="0" collapsed="false">
      <c r="A90" s="2" t="n">
        <v>42</v>
      </c>
      <c r="B90" s="3" t="s">
        <v>381</v>
      </c>
      <c r="C90" s="3" t="s">
        <v>429</v>
      </c>
      <c r="D90" s="3" t="s">
        <v>430</v>
      </c>
      <c r="E90" s="3" t="s">
        <v>14</v>
      </c>
      <c r="F90" s="3" t="s">
        <v>431</v>
      </c>
      <c r="G90" s="3" t="s">
        <v>16</v>
      </c>
      <c r="H90" s="3" t="s">
        <v>432</v>
      </c>
      <c r="I90" s="3" t="s">
        <v>18</v>
      </c>
      <c r="J90" s="2" t="s">
        <v>19</v>
      </c>
      <c r="K90" s="2"/>
    </row>
    <row r="91" customFormat="false" ht="35.05" hidden="false" customHeight="false" outlineLevel="0" collapsed="false">
      <c r="A91" s="2" t="n">
        <v>52</v>
      </c>
      <c r="B91" s="3" t="s">
        <v>381</v>
      </c>
      <c r="C91" s="3" t="s">
        <v>433</v>
      </c>
      <c r="D91" s="3" t="s">
        <v>434</v>
      </c>
      <c r="E91" s="3" t="s">
        <v>14</v>
      </c>
      <c r="F91" s="3" t="s">
        <v>435</v>
      </c>
      <c r="G91" s="3" t="s">
        <v>16</v>
      </c>
      <c r="H91" s="3" t="s">
        <v>436</v>
      </c>
      <c r="I91" s="3" t="s">
        <v>18</v>
      </c>
      <c r="J91" s="2" t="s">
        <v>19</v>
      </c>
      <c r="K91" s="2"/>
    </row>
    <row r="92" customFormat="false" ht="46.25" hidden="false" customHeight="false" outlineLevel="0" collapsed="false">
      <c r="A92" s="2" t="n">
        <v>53</v>
      </c>
      <c r="B92" s="3" t="s">
        <v>381</v>
      </c>
      <c r="C92" s="3" t="s">
        <v>437</v>
      </c>
      <c r="D92" s="3" t="s">
        <v>438</v>
      </c>
      <c r="E92" s="3" t="s">
        <v>51</v>
      </c>
      <c r="F92" s="3" t="s">
        <v>439</v>
      </c>
      <c r="G92" s="3" t="s">
        <v>16</v>
      </c>
      <c r="H92" s="3" t="s">
        <v>440</v>
      </c>
      <c r="I92" s="3" t="s">
        <v>18</v>
      </c>
      <c r="J92" s="2" t="s">
        <v>19</v>
      </c>
      <c r="K92" s="2"/>
    </row>
    <row r="93" customFormat="false" ht="46.25" hidden="false" customHeight="false" outlineLevel="0" collapsed="false">
      <c r="A93" s="2" t="n">
        <v>54</v>
      </c>
      <c r="B93" s="3" t="s">
        <v>381</v>
      </c>
      <c r="C93" s="3" t="s">
        <v>441</v>
      </c>
      <c r="D93" s="3" t="s">
        <v>442</v>
      </c>
      <c r="E93" s="3" t="s">
        <v>217</v>
      </c>
      <c r="F93" s="3" t="s">
        <v>443</v>
      </c>
      <c r="G93" s="3" t="s">
        <v>16</v>
      </c>
      <c r="H93" s="3" t="s">
        <v>444</v>
      </c>
      <c r="I93" s="3" t="s">
        <v>18</v>
      </c>
      <c r="J93" s="2" t="s">
        <v>19</v>
      </c>
      <c r="K93" s="2"/>
    </row>
    <row r="94" customFormat="false" ht="46.25" hidden="false" customHeight="false" outlineLevel="0" collapsed="false">
      <c r="A94" s="2" t="n">
        <v>55</v>
      </c>
      <c r="B94" s="3" t="s">
        <v>381</v>
      </c>
      <c r="C94" s="3" t="s">
        <v>445</v>
      </c>
      <c r="D94" s="3" t="s">
        <v>446</v>
      </c>
      <c r="E94" s="3" t="s">
        <v>217</v>
      </c>
      <c r="F94" s="3" t="s">
        <v>447</v>
      </c>
      <c r="G94" s="3" t="s">
        <v>16</v>
      </c>
      <c r="H94" s="3" t="s">
        <v>448</v>
      </c>
      <c r="I94" s="3" t="s">
        <v>18</v>
      </c>
      <c r="J94" s="2" t="s">
        <v>19</v>
      </c>
      <c r="K94" s="2"/>
    </row>
    <row r="95" customFormat="false" ht="46.25" hidden="false" customHeight="false" outlineLevel="0" collapsed="false">
      <c r="A95" s="2" t="n">
        <v>43</v>
      </c>
      <c r="B95" s="3" t="s">
        <v>449</v>
      </c>
      <c r="C95" s="3" t="s">
        <v>450</v>
      </c>
      <c r="D95" s="3" t="s">
        <v>451</v>
      </c>
      <c r="E95" s="3" t="s">
        <v>51</v>
      </c>
      <c r="F95" s="3" t="s">
        <v>452</v>
      </c>
      <c r="G95" s="3" t="s">
        <v>16</v>
      </c>
      <c r="H95" s="3" t="s">
        <v>453</v>
      </c>
      <c r="I95" s="3" t="s">
        <v>18</v>
      </c>
      <c r="J95" s="2" t="s">
        <v>19</v>
      </c>
      <c r="K95" s="2"/>
    </row>
    <row r="96" customFormat="false" ht="46.25" hidden="false" customHeight="false" outlineLevel="0" collapsed="false">
      <c r="A96" s="2" t="n">
        <v>44</v>
      </c>
      <c r="B96" s="3" t="s">
        <v>449</v>
      </c>
      <c r="C96" s="3" t="s">
        <v>454</v>
      </c>
      <c r="D96" s="3" t="s">
        <v>455</v>
      </c>
      <c r="E96" s="3" t="s">
        <v>14</v>
      </c>
      <c r="F96" s="3" t="s">
        <v>456</v>
      </c>
      <c r="G96" s="3" t="s">
        <v>457</v>
      </c>
      <c r="H96" s="3" t="s">
        <v>458</v>
      </c>
      <c r="I96" s="3" t="s">
        <v>18</v>
      </c>
      <c r="J96" s="2" t="s">
        <v>19</v>
      </c>
      <c r="K96" s="2"/>
    </row>
    <row r="97" customFormat="false" ht="23.85" hidden="false" customHeight="false" outlineLevel="0" collapsed="false">
      <c r="A97" s="2" t="n">
        <v>45</v>
      </c>
      <c r="B97" s="3" t="s">
        <v>449</v>
      </c>
      <c r="C97" s="3" t="s">
        <v>459</v>
      </c>
      <c r="D97" s="3" t="s">
        <v>460</v>
      </c>
      <c r="E97" s="3" t="s">
        <v>14</v>
      </c>
      <c r="F97" s="3" t="s">
        <v>461</v>
      </c>
      <c r="G97" s="3" t="s">
        <v>457</v>
      </c>
      <c r="H97" s="3" t="s">
        <v>462</v>
      </c>
      <c r="I97" s="3" t="s">
        <v>18</v>
      </c>
      <c r="J97" s="2" t="s">
        <v>19</v>
      </c>
      <c r="K97" s="2"/>
    </row>
    <row r="98" customFormat="false" ht="35.05" hidden="false" customHeight="false" outlineLevel="0" collapsed="false">
      <c r="A98" s="2" t="n">
        <v>46</v>
      </c>
      <c r="B98" s="3" t="s">
        <v>449</v>
      </c>
      <c r="C98" s="3" t="s">
        <v>463</v>
      </c>
      <c r="D98" s="3" t="s">
        <v>464</v>
      </c>
      <c r="E98" s="3" t="s">
        <v>14</v>
      </c>
      <c r="F98" s="3" t="s">
        <v>465</v>
      </c>
      <c r="G98" s="3" t="s">
        <v>457</v>
      </c>
      <c r="H98" s="3" t="s">
        <v>466</v>
      </c>
      <c r="I98" s="3" t="s">
        <v>18</v>
      </c>
      <c r="J98" s="2" t="s">
        <v>19</v>
      </c>
      <c r="K98" s="2"/>
    </row>
    <row r="99" customFormat="false" ht="35.05" hidden="false" customHeight="false" outlineLevel="0" collapsed="false">
      <c r="A99" s="2" t="n">
        <v>47</v>
      </c>
      <c r="B99" s="3" t="s">
        <v>449</v>
      </c>
      <c r="C99" s="3" t="s">
        <v>467</v>
      </c>
      <c r="D99" s="3" t="s">
        <v>468</v>
      </c>
      <c r="E99" s="3" t="s">
        <v>14</v>
      </c>
      <c r="F99" s="3" t="s">
        <v>469</v>
      </c>
      <c r="G99" s="3" t="s">
        <v>470</v>
      </c>
      <c r="H99" s="3" t="s">
        <v>471</v>
      </c>
      <c r="I99" s="3" t="s">
        <v>18</v>
      </c>
      <c r="J99" s="2" t="s">
        <v>19</v>
      </c>
      <c r="K99" s="2"/>
    </row>
    <row r="100" customFormat="false" ht="35.05" hidden="false" customHeight="false" outlineLevel="0" collapsed="false">
      <c r="A100" s="2" t="n">
        <v>48</v>
      </c>
      <c r="B100" s="3" t="s">
        <v>449</v>
      </c>
      <c r="C100" s="3" t="s">
        <v>472</v>
      </c>
      <c r="D100" s="3" t="s">
        <v>473</v>
      </c>
      <c r="E100" s="3" t="s">
        <v>51</v>
      </c>
      <c r="F100" s="3" t="s">
        <v>474</v>
      </c>
      <c r="G100" s="3" t="s">
        <v>457</v>
      </c>
      <c r="H100" s="3" t="s">
        <v>475</v>
      </c>
      <c r="I100" s="3" t="s">
        <v>18</v>
      </c>
      <c r="J100" s="2" t="s">
        <v>19</v>
      </c>
      <c r="K100" s="2"/>
    </row>
    <row r="101" customFormat="false" ht="46.25" hidden="false" customHeight="false" outlineLevel="0" collapsed="false">
      <c r="A101" s="2" t="n">
        <v>50</v>
      </c>
      <c r="B101" s="3" t="s">
        <v>449</v>
      </c>
      <c r="C101" s="3" t="s">
        <v>476</v>
      </c>
      <c r="D101" s="3" t="s">
        <v>477</v>
      </c>
      <c r="E101" s="3" t="s">
        <v>14</v>
      </c>
      <c r="F101" s="3" t="s">
        <v>478</v>
      </c>
      <c r="G101" s="3" t="s">
        <v>457</v>
      </c>
      <c r="H101" s="3" t="s">
        <v>479</v>
      </c>
      <c r="I101" s="3" t="s">
        <v>18</v>
      </c>
      <c r="J101" s="2" t="s">
        <v>19</v>
      </c>
      <c r="K101" s="2"/>
    </row>
    <row r="102" customFormat="false" ht="57.45" hidden="false" customHeight="false" outlineLevel="0" collapsed="false">
      <c r="A102" s="2" t="n">
        <v>51</v>
      </c>
      <c r="B102" s="3" t="s">
        <v>449</v>
      </c>
      <c r="C102" s="3" t="s">
        <v>480</v>
      </c>
      <c r="D102" s="3" t="s">
        <v>481</v>
      </c>
      <c r="E102" s="3" t="s">
        <v>14</v>
      </c>
      <c r="F102" s="3" t="s">
        <v>482</v>
      </c>
      <c r="G102" s="3" t="s">
        <v>457</v>
      </c>
      <c r="H102" s="3" t="s">
        <v>483</v>
      </c>
      <c r="I102" s="3" t="s">
        <v>18</v>
      </c>
      <c r="J102" s="2" t="s">
        <v>19</v>
      </c>
      <c r="K102" s="2"/>
    </row>
    <row r="103" customFormat="false" ht="46.25" hidden="false" customHeight="false" outlineLevel="0" collapsed="false">
      <c r="A103" s="2" t="n">
        <v>95</v>
      </c>
      <c r="B103" s="3" t="s">
        <v>484</v>
      </c>
      <c r="C103" s="3" t="s">
        <v>485</v>
      </c>
      <c r="D103" s="3" t="s">
        <v>486</v>
      </c>
      <c r="E103" s="3" t="s">
        <v>14</v>
      </c>
      <c r="F103" s="3" t="s">
        <v>487</v>
      </c>
      <c r="G103" s="3" t="s">
        <v>16</v>
      </c>
      <c r="H103" s="3" t="s">
        <v>488</v>
      </c>
      <c r="I103" s="3" t="s">
        <v>489</v>
      </c>
      <c r="J103" s="2" t="s">
        <v>48</v>
      </c>
      <c r="K103" s="2" t="s">
        <v>490</v>
      </c>
    </row>
  </sheetData>
  <autoFilter ref="A1:K103"/>
  <conditionalFormatting sqref="J2:J103">
    <cfRule type="cellIs" priority="2" operator="equal" aboveAverage="0" equalAverage="0" bottom="0" percent="0" rank="0" text="" dxfId="7">
      <formula>"Pass"</formula>
    </cfRule>
    <cfRule type="cellIs" priority="3" operator="equal" aboveAverage="0" equalAverage="0" bottom="0" percent="0" rank="0" text="" dxfId="8">
      <formula>"Fail"</formula>
    </cfRule>
  </conditionalFormatting>
  <dataValidations count="1">
    <dataValidation allowBlank="false" errorStyle="stop" operator="between" showDropDown="false" showErrorMessage="false" showInputMessage="false" sqref="J2:J103"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4" min="2" style="0" width="9"/>
    <col collapsed="false" customWidth="true" hidden="false" outlineLevel="0" max="5" min="5" style="0" width="12"/>
  </cols>
  <sheetData>
    <row r="1" customFormat="false" ht="16.15" hidden="false" customHeight="false" outlineLevel="0" collapsed="false">
      <c r="A1" s="4" t="s">
        <v>491</v>
      </c>
    </row>
    <row r="3" customFormat="false" ht="15" hidden="false" customHeight="false" outlineLevel="0" collapsed="false">
      <c r="A3" s="5" t="s">
        <v>1</v>
      </c>
      <c r="B3" s="5" t="s">
        <v>492</v>
      </c>
      <c r="C3" s="5" t="s">
        <v>19</v>
      </c>
      <c r="D3" s="5" t="s">
        <v>48</v>
      </c>
      <c r="E3" s="5" t="s">
        <v>493</v>
      </c>
    </row>
    <row r="4" customFormat="false" ht="15" hidden="false" customHeight="false" outlineLevel="0" collapsed="false">
      <c r="A4" s="6" t="s">
        <v>11</v>
      </c>
      <c r="B4" s="7" t="n">
        <f aca="false">COUNTIF('Test case'!$B$2:$B$103,A4)</f>
        <v>2</v>
      </c>
      <c r="C4" s="7" t="n">
        <f aca="false">COUNTIFS('Test case'!$B$2:$B$103,A4,'Test case'!$J$2:$J$103,"Pass")</f>
        <v>2</v>
      </c>
      <c r="D4" s="7" t="n">
        <f aca="false">COUNTIFS('Test case'!$B$2:$B$103,A4,'Test case'!$J$2:$J$103,"Fail")</f>
        <v>0</v>
      </c>
      <c r="E4" s="8" t="n">
        <f aca="false">IF(B4=0,0,C4/B4)</f>
        <v>1</v>
      </c>
    </row>
    <row r="5" customFormat="false" ht="15" hidden="false" customHeight="false" outlineLevel="0" collapsed="false">
      <c r="A5" s="6" t="s">
        <v>25</v>
      </c>
      <c r="B5" s="7" t="n">
        <f aca="false">COUNTIF('Test case'!$B$2:$B$103,A5)</f>
        <v>12</v>
      </c>
      <c r="C5" s="7" t="n">
        <f aca="false">COUNTIFS('Test case'!$B$2:$B$103,A5,'Test case'!$J$2:$J$103,"Pass")</f>
        <v>7</v>
      </c>
      <c r="D5" s="7" t="n">
        <f aca="false">COUNTIFS('Test case'!$B$2:$B$103,A5,'Test case'!$J$2:$J$103,"Fail")</f>
        <v>5</v>
      </c>
      <c r="E5" s="8" t="n">
        <f aca="false">IF(B5=0,0,C5/B5)</f>
        <v>0.583333333333333</v>
      </c>
    </row>
    <row r="6" customFormat="false" ht="15" hidden="false" customHeight="false" outlineLevel="0" collapsed="false">
      <c r="A6" s="6" t="s">
        <v>86</v>
      </c>
      <c r="B6" s="7" t="n">
        <f aca="false">COUNTIF('Test case'!$B$2:$B$103,A6)</f>
        <v>2</v>
      </c>
      <c r="C6" s="7" t="n">
        <f aca="false">COUNTIFS('Test case'!$B$2:$B$103,A6,'Test case'!$J$2:$J$103,"Pass")</f>
        <v>2</v>
      </c>
      <c r="D6" s="7" t="n">
        <f aca="false">COUNTIFS('Test case'!$B$2:$B$103,A6,'Test case'!$J$2:$J$103,"Fail")</f>
        <v>0</v>
      </c>
      <c r="E6" s="8" t="n">
        <f aca="false">IF(B6=0,0,C6/B6)</f>
        <v>1</v>
      </c>
    </row>
    <row r="7" customFormat="false" ht="15" hidden="false" customHeight="false" outlineLevel="0" collapsed="false">
      <c r="A7" s="6" t="s">
        <v>96</v>
      </c>
      <c r="B7" s="7" t="n">
        <f aca="false">COUNTIF('Test case'!$B$2:$B$103,A7)</f>
        <v>13</v>
      </c>
      <c r="C7" s="7" t="n">
        <f aca="false">COUNTIFS('Test case'!$B$2:$B$103,A7,'Test case'!$J$2:$J$103,"Pass")</f>
        <v>7</v>
      </c>
      <c r="D7" s="7" t="n">
        <f aca="false">COUNTIFS('Test case'!$B$2:$B$103,A7,'Test case'!$J$2:$J$103,"Fail")</f>
        <v>6</v>
      </c>
      <c r="E7" s="8" t="n">
        <f aca="false">IF(B7=0,0,C7/B7)</f>
        <v>0.538461538461538</v>
      </c>
    </row>
    <row r="8" customFormat="false" ht="15" hidden="false" customHeight="false" outlineLevel="0" collapsed="false">
      <c r="A8" s="6" t="s">
        <v>158</v>
      </c>
      <c r="B8" s="7" t="n">
        <f aca="false">COUNTIF('Test case'!$B$2:$B$103,A8)</f>
        <v>7</v>
      </c>
      <c r="C8" s="7" t="n">
        <f aca="false">COUNTIFS('Test case'!$B$2:$B$103,A8,'Test case'!$J$2:$J$103,"Pass")</f>
        <v>7</v>
      </c>
      <c r="D8" s="7" t="n">
        <f aca="false">COUNTIFS('Test case'!$B$2:$B$103,A8,'Test case'!$J$2:$J$103,"Fail")</f>
        <v>0</v>
      </c>
      <c r="E8" s="8" t="n">
        <f aca="false">IF(B8=0,0,C8/B8)</f>
        <v>1</v>
      </c>
    </row>
    <row r="9" customFormat="false" ht="15" hidden="false" customHeight="false" outlineLevel="0" collapsed="false">
      <c r="A9" s="6" t="s">
        <v>187</v>
      </c>
      <c r="B9" s="7" t="n">
        <f aca="false">COUNTIF('Test case'!$B$2:$B$103,A9)</f>
        <v>2</v>
      </c>
      <c r="C9" s="7" t="n">
        <f aca="false">COUNTIFS('Test case'!$B$2:$B$103,A9,'Test case'!$J$2:$J$103,"Pass")</f>
        <v>2</v>
      </c>
      <c r="D9" s="7" t="n">
        <f aca="false">COUNTIFS('Test case'!$B$2:$B$103,A9,'Test case'!$J$2:$J$103,"Fail")</f>
        <v>0</v>
      </c>
      <c r="E9" s="8" t="n">
        <f aca="false">IF(B9=0,0,C9/B9)</f>
        <v>1</v>
      </c>
    </row>
    <row r="10" customFormat="false" ht="15" hidden="false" customHeight="false" outlineLevel="0" collapsed="false">
      <c r="A10" s="6" t="s">
        <v>196</v>
      </c>
      <c r="B10" s="7" t="n">
        <f aca="false">COUNTIF('Test case'!$B$2:$B$103,A10)</f>
        <v>5</v>
      </c>
      <c r="C10" s="7" t="n">
        <f aca="false">COUNTIFS('Test case'!$B$2:$B$103,A10,'Test case'!$J$2:$J$103,"Pass")</f>
        <v>4</v>
      </c>
      <c r="D10" s="7" t="n">
        <f aca="false">COUNTIFS('Test case'!$B$2:$B$103,A10,'Test case'!$J$2:$J$103,"Fail")</f>
        <v>1</v>
      </c>
      <c r="E10" s="8" t="n">
        <f aca="false">IF(B10=0,0,C10/B10)</f>
        <v>0.8</v>
      </c>
    </row>
    <row r="11" customFormat="false" ht="15" hidden="false" customHeight="false" outlineLevel="0" collapsed="false">
      <c r="A11" s="6" t="s">
        <v>220</v>
      </c>
      <c r="B11" s="7" t="n">
        <f aca="false">COUNTIF('Test case'!$B$2:$B$103,A11)</f>
        <v>6</v>
      </c>
      <c r="C11" s="7" t="n">
        <f aca="false">COUNTIFS('Test case'!$B$2:$B$103,A11,'Test case'!$J$2:$J$103,"Pass")</f>
        <v>3</v>
      </c>
      <c r="D11" s="7" t="n">
        <f aca="false">COUNTIFS('Test case'!$B$2:$B$103,A11,'Test case'!$J$2:$J$103,"Fail")</f>
        <v>3</v>
      </c>
      <c r="E11" s="8" t="n">
        <f aca="false">IF(B11=0,0,C11/B11)</f>
        <v>0.5</v>
      </c>
    </row>
    <row r="12" customFormat="false" ht="15" hidden="false" customHeight="false" outlineLevel="0" collapsed="false">
      <c r="A12" s="6" t="s">
        <v>245</v>
      </c>
      <c r="B12" s="7" t="n">
        <f aca="false">COUNTIF('Test case'!$B$2:$B$103,A12)</f>
        <v>2</v>
      </c>
      <c r="C12" s="7" t="n">
        <f aca="false">COUNTIFS('Test case'!$B$2:$B$103,A12,'Test case'!$J$2:$J$103,"Pass")</f>
        <v>2</v>
      </c>
      <c r="D12" s="7" t="n">
        <f aca="false">COUNTIFS('Test case'!$B$2:$B$103,A12,'Test case'!$J$2:$J$103,"Fail")</f>
        <v>0</v>
      </c>
      <c r="E12" s="8" t="n">
        <f aca="false">IF(B12=0,0,C12/B12)</f>
        <v>1</v>
      </c>
    </row>
    <row r="13" customFormat="false" ht="15" hidden="false" customHeight="false" outlineLevel="0" collapsed="false">
      <c r="A13" s="6" t="s">
        <v>256</v>
      </c>
      <c r="B13" s="7" t="n">
        <f aca="false">COUNTIF('Test case'!$B$2:$B$103,A13)</f>
        <v>9</v>
      </c>
      <c r="C13" s="7" t="n">
        <f aca="false">COUNTIFS('Test case'!$B$2:$B$103,A13,'Test case'!$J$2:$J$103,"Pass")</f>
        <v>9</v>
      </c>
      <c r="D13" s="7" t="n">
        <f aca="false">COUNTIFS('Test case'!$B$2:$B$103,A13,'Test case'!$J$2:$J$103,"Fail")</f>
        <v>0</v>
      </c>
      <c r="E13" s="8" t="n">
        <f aca="false">IF(B13=0,0,C13/B13)</f>
        <v>1</v>
      </c>
    </row>
    <row r="14" customFormat="false" ht="15" hidden="false" customHeight="false" outlineLevel="0" collapsed="false">
      <c r="A14" s="6" t="s">
        <v>300</v>
      </c>
      <c r="B14" s="7" t="n">
        <f aca="false">COUNTIF('Test case'!$B$2:$B$103,A14)</f>
        <v>16</v>
      </c>
      <c r="C14" s="7" t="n">
        <f aca="false">COUNTIFS('Test case'!$B$2:$B$103,A14,'Test case'!$J$2:$J$103,"Pass")</f>
        <v>14</v>
      </c>
      <c r="D14" s="7" t="n">
        <f aca="false">COUNTIFS('Test case'!$B$2:$B$103,A14,'Test case'!$J$2:$J$103,"Fail")</f>
        <v>2</v>
      </c>
      <c r="E14" s="8" t="n">
        <f aca="false">IF(B14=0,0,C14/B14)</f>
        <v>0.875</v>
      </c>
    </row>
    <row r="15" customFormat="false" ht="15" hidden="false" customHeight="false" outlineLevel="0" collapsed="false">
      <c r="A15" s="6" t="s">
        <v>381</v>
      </c>
      <c r="B15" s="7" t="n">
        <f aca="false">COUNTIF('Test case'!$B$2:$B$103,A15)</f>
        <v>17</v>
      </c>
      <c r="C15" s="7" t="n">
        <f aca="false">COUNTIFS('Test case'!$B$2:$B$103,A15,'Test case'!$J$2:$J$103,"Pass")</f>
        <v>17</v>
      </c>
      <c r="D15" s="7" t="n">
        <f aca="false">COUNTIFS('Test case'!$B$2:$B$103,A15,'Test case'!$J$2:$J$103,"Fail")</f>
        <v>0</v>
      </c>
      <c r="E15" s="8" t="n">
        <f aca="false">IF(B15=0,0,C15/B15)</f>
        <v>1</v>
      </c>
    </row>
    <row r="16" customFormat="false" ht="15" hidden="false" customHeight="false" outlineLevel="0" collapsed="false">
      <c r="A16" s="6" t="s">
        <v>449</v>
      </c>
      <c r="B16" s="7" t="n">
        <f aca="false">COUNTIF('Test case'!$B$2:$B$103,A16)</f>
        <v>8</v>
      </c>
      <c r="C16" s="7" t="n">
        <f aca="false">COUNTIFS('Test case'!$B$2:$B$103,A16,'Test case'!$J$2:$J$103,"Pass")</f>
        <v>8</v>
      </c>
      <c r="D16" s="7" t="n">
        <f aca="false">COUNTIFS('Test case'!$B$2:$B$103,A16,'Test case'!$J$2:$J$103,"Fail")</f>
        <v>0</v>
      </c>
      <c r="E16" s="8" t="n">
        <f aca="false">IF(B16=0,0,C16/B16)</f>
        <v>1</v>
      </c>
    </row>
    <row r="17" customFormat="false" ht="15" hidden="false" customHeight="false" outlineLevel="0" collapsed="false">
      <c r="A17" s="6" t="s">
        <v>484</v>
      </c>
      <c r="B17" s="7" t="n">
        <f aca="false">COUNTIF('Test case'!$B$2:$B$103,A17)</f>
        <v>1</v>
      </c>
      <c r="C17" s="7" t="n">
        <f aca="false">COUNTIFS('Test case'!$B$2:$B$103,A17,'Test case'!$J$2:$J$103,"Pass")</f>
        <v>0</v>
      </c>
      <c r="D17" s="7" t="n">
        <f aca="false">COUNTIFS('Test case'!$B$2:$B$103,A17,'Test case'!$J$2:$J$103,"Fail")</f>
        <v>1</v>
      </c>
      <c r="E17" s="8" t="n">
        <f aca="false">IF(B17=0,0,C17/B17)</f>
        <v>0</v>
      </c>
    </row>
    <row r="18" customFormat="false" ht="15" hidden="false" customHeight="false" outlineLevel="0" collapsed="false">
      <c r="A18" s="9" t="s">
        <v>494</v>
      </c>
      <c r="B18" s="10" t="n">
        <f aca="false">SUM(B4:B17)</f>
        <v>102</v>
      </c>
      <c r="C18" s="10" t="n">
        <f aca="false">SUM(C4:C17)</f>
        <v>84</v>
      </c>
      <c r="D18" s="10" t="n">
        <f aca="false">SUM(D4:D17)</f>
        <v>18</v>
      </c>
      <c r="E18" s="11" t="n">
        <f aca="false">IF(B18=0,0,C18/B18)</f>
        <v>0.823529411764706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2026-10-24T13:03:13Z</dcterms:created>
  <dc:creator>openpyxl</dc:creator>
  <dc:description/>
  <dc:language>en-US</dc:language>
  <cp:lastModifiedBy/>
  <dcterms:modified xsi:type="dcterms:W3CDTF">2026-10-24T13:03:13Z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